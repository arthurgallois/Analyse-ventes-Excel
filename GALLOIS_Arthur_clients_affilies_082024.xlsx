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Tableau Client x Catégorie" sheetId="2" state="visible" r:id="rId4"/>
    <sheet name="DATA Février (clients affilié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<sst xmlns="http://schemas.openxmlformats.org/spreadsheetml/2006/main" count="715" uniqueCount="46">
  <si>
    <t xml:space="preserve">Analyse des ventes mensuelles des clients affiliés</t>
  </si>
  <si>
    <t xml:space="preserve">SEPT</t>
  </si>
  <si>
    <t xml:space="preserve">OCT</t>
  </si>
  <si>
    <t xml:space="preserve">NOV</t>
  </si>
  <si>
    <t xml:space="preserve">DEC</t>
  </si>
  <si>
    <t xml:space="preserve">JAN</t>
  </si>
  <si>
    <t xml:space="preserve">FEV</t>
  </si>
  <si>
    <t xml:space="preserve">TOTAL  </t>
  </si>
  <si>
    <t xml:space="preserve">bien de conso.</t>
  </si>
  <si>
    <t xml:space="preserve">nourriture</t>
  </si>
  <si>
    <t xml:space="preserve">high tech</t>
  </si>
  <si>
    <t xml:space="preserve">Total</t>
  </si>
  <si>
    <t xml:space="preserve">TEMPS D'ACHAT</t>
  </si>
  <si>
    <t xml:space="preserve">NB TRANSACTIONS</t>
  </si>
  <si>
    <t xml:space="preserve">CA TOTAL</t>
  </si>
  <si>
    <t xml:space="preserve">Inférieur à 4 min.</t>
  </si>
  <si>
    <t xml:space="preserve">Supérieur à 9 min 30</t>
  </si>
  <si>
    <t xml:space="preserve">Graphique montrant l'évolution du chiffre d'affaires au sein de chaque catégorie (de septembre à février)</t>
  </si>
  <si>
    <t xml:space="preserve">Graphique représentant le chiffre d'affaires total pour chaque catégorie (de septembre à février)</t>
  </si>
  <si>
    <t xml:space="preserve">Top 10 des clients avec le détail par catégorie (Pour le mois de février)</t>
  </si>
  <si>
    <t xml:space="preserve">Graphique représentant le montant du panier en fonction du temps passé sur le site pour les clients affiliés (Pour le mois de Février)</t>
  </si>
  <si>
    <t xml:space="preserve">Graphique représentant le chiffre d'affaires par catégorie en pourcentage (pour le mois de février)</t>
  </si>
  <si>
    <t xml:space="preserve">Tableau qui résume par client le nombre d'achats et le chiffre d'affaires par catégorie ainsi que le total</t>
  </si>
  <si>
    <t xml:space="preserve">ID Client</t>
  </si>
  <si>
    <t xml:space="preserve">Nb achat total</t>
  </si>
  <si>
    <t xml:space="preserve">Nb achat biens de conso</t>
  </si>
  <si>
    <t xml:space="preserve">CA biens de conso</t>
  </si>
  <si>
    <t xml:space="preserve">Nb achat nourriture</t>
  </si>
  <si>
    <t xml:space="preserve">CA Nourriture</t>
  </si>
  <si>
    <t xml:space="preserve">CA total</t>
  </si>
  <si>
    <t xml:space="preserve">ID client</t>
  </si>
  <si>
    <t xml:space="preserve">Temps d'achat</t>
  </si>
  <si>
    <t xml:space="preserve">Montant</t>
  </si>
  <si>
    <t xml:space="preserve">Categorie</t>
  </si>
  <si>
    <t xml:space="preserve">Ventes Février</t>
  </si>
  <si>
    <t xml:space="preserve">Ventes par temps de conso</t>
  </si>
  <si>
    <t xml:space="preserve">Bien de conso.</t>
  </si>
  <si>
    <t xml:space="preserve">Nourriture</t>
  </si>
  <si>
    <t xml:space="preserve">&lt;4 min</t>
  </si>
  <si>
    <t xml:space="preserve">&gt;9 min 30</t>
  </si>
  <si>
    <t xml:space="preserve">Nombre</t>
  </si>
  <si>
    <t xml:space="preserve">CA</t>
  </si>
  <si>
    <t xml:space="preserve">ID client max</t>
  </si>
  <si>
    <t xml:space="preserve">Nb occurence</t>
  </si>
  <si>
    <t xml:space="preserve">Classement</t>
  </si>
  <si>
    <t xml:space="preserve">Biens de conso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</si>
</sst>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€&quot;"/>
    <numFmt numFmtId="166" formatCode="hh:mm"/>
    <numFmt numFmtId="167" formatCode="#,##0\ [$€-1]"/>
    <numFmt numFmtId="168" formatCode="@"/>
    <numFmt numFmtId="169" formatCode="#,##0.00\ [$€-1]"/>
    <numFmt numFmtId="170" formatCode="#,##0.00"/>
    <numFmt numFmtId="171" formatCode="0.00"/>
    <numFmt numFmtId="172" formatCode="_-* #,##0.00&quot; €&quot;_-;\-* #,##0.00&quot; €&quot;_-;_-* \-??&quot; €&quot;_-;_-@"/>
    <numFmt numFmtId="173" formatCode="0.00\ %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6"/>
      <color theme="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2"/>
      <color theme="0"/>
      <name val="Calibri"/>
      <family val="0"/>
      <charset val="1"/>
    </font>
    <font>
      <b val="true"/>
      <sz val="14"/>
      <color theme="0"/>
      <name val="Calibri"/>
      <family val="0"/>
      <charset val="1"/>
    </font>
    <font>
      <sz val="12"/>
      <color theme="1"/>
      <name val="Calibri"/>
      <family val="0"/>
      <charset val="1"/>
    </font>
    <font>
      <sz val="12"/>
      <color rgb="FFED7D31"/>
      <name val="Calibri"/>
      <family val="0"/>
      <charset val="1"/>
    </font>
    <font>
      <sz val="12"/>
      <color theme="5"/>
      <name val="Calibri"/>
      <family val="0"/>
      <charset val="1"/>
    </font>
    <font>
      <b val="true"/>
      <sz val="12"/>
      <color theme="5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rgb="FFED7D31"/>
      <name val="Calibri"/>
      <family val="0"/>
      <charset val="1"/>
    </font>
    <font>
      <sz val="18"/>
      <color rgb="FF757575"/>
      <name val="Calibri"/>
      <family val="2"/>
    </font>
    <font>
      <sz val="9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sz val="9"/>
      <color rgb="FF1A1A1A"/>
      <name val="Calibri"/>
      <family val="2"/>
    </font>
    <font>
      <sz val="10"/>
      <color rgb="FF1A1A1A"/>
      <name val="Calibri"/>
      <family val="2"/>
    </font>
    <font>
      <b val="true"/>
      <i val="true"/>
      <sz val="20"/>
      <color theme="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6F8F9"/>
      </patternFill>
    </fill>
    <fill>
      <patternFill patternType="solid">
        <fgColor rgb="FF2E75B5"/>
        <bgColor rgb="FF4472C4"/>
      </patternFill>
    </fill>
    <fill>
      <patternFill patternType="solid">
        <fgColor theme="8"/>
        <bgColor rgb="FF4472C4"/>
      </patternFill>
    </fill>
    <fill>
      <patternFill patternType="solid">
        <fgColor rgb="FFDEEAF6"/>
        <bgColor rgb="FFD9D9D9"/>
      </patternFill>
    </fill>
    <fill>
      <patternFill patternType="solid">
        <fgColor rgb="FFFFD966"/>
        <bgColor rgb="FFFFFF99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>
        <color theme="0"/>
      </right>
      <top style="medium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medium"/>
      <diagonal/>
    </border>
    <border diagonalUp="false" diagonalDown="false">
      <left style="thin">
        <color theme="0"/>
      </left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 diagonalUp="false" diagonalDown="false"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 diagonalUp="false" diagonalDown="false">
      <left style="thin">
        <color rgb="FFFFD966"/>
      </left>
      <right style="thin">
        <color rgb="FF284E3F"/>
      </right>
      <top style="thin">
        <color rgb="FFFFD966"/>
      </top>
      <bottom style="thin">
        <color rgb="FFFFD9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6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6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2E75B5"/>
      <rgbColor rgb="FFB7B7B7"/>
      <rgbColor rgb="FF757575"/>
      <rgbColor rgb="FF5B9BD5"/>
      <rgbColor rgb="FF993366"/>
      <rgbColor rgb="FFF6F8F9"/>
      <rgbColor rgb="FFDEEAF6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35685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33CCCC"/>
      <rgbColor rgb="FF70AD47"/>
      <rgbColor rgb="FFFFCC00"/>
      <rgbColor rgb="FFFF9900"/>
      <rgbColor rgb="FFED7D31"/>
      <rgbColor rgb="FF3465A4"/>
      <rgbColor rgb="FF8B8B8B"/>
      <rgbColor rgb="FF003366"/>
      <rgbColor rgb="FF6AA84F"/>
      <rgbColor rgb="FF003300"/>
      <rgbColor rgb="FF1A1A1A"/>
      <rgbColor rgb="FF993300"/>
      <rgbColor rgb="FF993366"/>
      <rgbColor rgb="FF333399"/>
      <rgbColor rgb="FF284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Evolution annuelle du chiffre d'affaire, par catégorie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"bien de conso."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38761d"/>
            </a:solidFill>
            <a:ln w="28440">
              <a:solidFill>
                <a:srgbClr val="3876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'Tableau de bord'!$C$6:$H$6</c:f>
              <c:multiLvlStrCache>
                <c:ptCount val="1"/>
                <c:lvl>
                  <c:pt idx="0">
                    <c:v>FEV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</c:multiLvlStrCache>
            </c:multiLvlStrRef>
          </c:cat>
          <c:val>
            <c:numRef>
              <c:f>'Tableau de bord'!$C$8:$H$8</c:f>
              <c:numCache>
                <c:formatCode>#,##0" 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"nourriture"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1155cc"/>
            </a:solidFill>
            <a:ln w="28440">
              <a:solidFill>
                <a:srgbClr val="1155c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'Tableau de bord'!$C$6:$H$6</c:f>
              <c:multiLvlStrCache>
                <c:ptCount val="1"/>
                <c:lvl>
                  <c:pt idx="0">
                    <c:v>FEV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</c:multiLvlStrCache>
            </c:multiLvlStrRef>
          </c:cat>
          <c:val>
            <c:numRef>
              <c:f>'Tableau de bord'!$C$9:$H$9</c:f>
              <c:numCache>
                <c:formatCode>#,##0" 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"high tech"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rgbClr val="cc0000"/>
            </a:solidFill>
            <a:ln w="28440">
              <a:solidFill>
                <a:srgbClr val="cc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'Tableau de bord'!$C$6:$H$6</c:f>
              <c:multiLvlStrCache>
                <c:ptCount val="1"/>
                <c:lvl>
                  <c:pt idx="0">
                    <c:v>FEV</c:v>
                  </c:pt>
                </c:lvl>
                <c:lvl>
                  <c:pt idx="0">
                    <c:v>JAN</c:v>
                  </c:pt>
                </c:lvl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</c:multiLvlStrCache>
            </c:multiLvlStrRef>
          </c:cat>
          <c:val>
            <c:numRef>
              <c:f>'Tableau de bord'!$C$10:$H$10</c:f>
              <c:numCache>
                <c:formatCode>#,##0" 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204327"/>
        <c:axId val="74106035"/>
      </c:lineChart>
      <c:catAx>
        <c:axId val="57204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106035"/>
        <c:crosses val="autoZero"/>
        <c:auto val="1"/>
        <c:lblAlgn val="ctr"/>
        <c:lblOffset val="100"/>
        <c:noMultiLvlLbl val="0"/>
      </c:catAx>
      <c:valAx>
        <c:axId val="7410603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Chiffre d'affaires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720432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Evolution du chiffre d'affaire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'Tableau de bord'!$B$11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bord'!$C$11:$H$11</c:f>
              <c:numCache>
                <c:formatCode>#,##0" €"</c:formatCode>
                <c:ptCount val="6"/>
                <c:pt idx="0">
                  <c:v>27400</c:v>
                </c:pt>
                <c:pt idx="1">
                  <c:v>31279</c:v>
                </c:pt>
                <c:pt idx="2">
                  <c:v>34547</c:v>
                </c:pt>
                <c:pt idx="3">
                  <c:v>35946</c:v>
                </c:pt>
                <c:pt idx="4">
                  <c:v>35912</c:v>
                </c:pt>
                <c:pt idx="5">
                  <c:v>39663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770380"/>
        <c:axId val="31821930"/>
      </c:lineChart>
      <c:catAx>
        <c:axId val="937703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1821930"/>
        <c:crosses val="autoZero"/>
        <c:auto val="1"/>
        <c:lblAlgn val="ctr"/>
        <c:lblOffset val="100"/>
        <c:noMultiLvlLbl val="0"/>
      </c:catAx>
      <c:valAx>
        <c:axId val="3182193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Chiffre d'afffaires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37703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Répartition des ventes pour les 10 clients les plus importants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'DATA Février (clients affiliés)'!$L$7</c:f>
              <c:strCache>
                <c:ptCount val="1"/>
                <c:pt idx="0">
                  <c:v>Biens de conso</c:v>
                </c:pt>
              </c:strCache>
            </c:strRef>
          </c:tx>
          <c:spPr>
            <a:solidFill>
              <a:srgbClr val="6aa8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Février (clients affiliés)'!$J$8:$J$17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31</c:v>
                </c:pt>
                <c:pt idx="4">
                  <c:v>36</c:v>
                </c:pt>
                <c:pt idx="5">
                  <c:v>38</c:v>
                </c:pt>
                <c:pt idx="6">
                  <c:v>20</c:v>
                </c:pt>
                <c:pt idx="7">
                  <c:v>30</c:v>
                </c:pt>
                <c:pt idx="8">
                  <c:v>27</c:v>
                </c:pt>
                <c:pt idx="9">
                  <c:v>28</c:v>
                </c:pt>
              </c:strCache>
            </c:strRef>
          </c:cat>
          <c:val>
            <c:numRef>
              <c:f>'DATA Février (clients affiliés)'!$L$8:$L$17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10</c:v>
                </c:pt>
                <c:pt idx="3">
                  <c:v>11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</c:numCache>
            </c:numRef>
          </c:val>
        </c:ser>
        <c:ser>
          <c:idx val="1"/>
          <c:order val="1"/>
          <c:tx>
            <c:strRef>
              <c:f>'DATA Février (clients affiliés)'!$N$7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1155c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Février (clients affiliés)'!$J$8:$J$17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31</c:v>
                </c:pt>
                <c:pt idx="4">
                  <c:v>36</c:v>
                </c:pt>
                <c:pt idx="5">
                  <c:v>38</c:v>
                </c:pt>
                <c:pt idx="6">
                  <c:v>20</c:v>
                </c:pt>
                <c:pt idx="7">
                  <c:v>30</c:v>
                </c:pt>
                <c:pt idx="8">
                  <c:v>27</c:v>
                </c:pt>
                <c:pt idx="9">
                  <c:v>28</c:v>
                </c:pt>
              </c:strCache>
            </c:strRef>
          </c:cat>
          <c:val>
            <c:numRef>
              <c:f>'DATA Février (clients affiliés)'!$N$8:$N$17</c:f>
              <c:numCache>
                <c:formatCode>General</c:formatCode>
                <c:ptCount val="10"/>
                <c:pt idx="0">
                  <c:v>14</c:v>
                </c:pt>
                <c:pt idx="1">
                  <c:v>18</c:v>
                </c:pt>
                <c:pt idx="2">
                  <c:v>11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12</c:v>
                </c:pt>
                <c:pt idx="7">
                  <c:v>10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</c:ser>
        <c:gapWidth val="150"/>
        <c:overlap val="100"/>
        <c:axId val="34133811"/>
        <c:axId val="84021377"/>
      </c:barChart>
      <c:catAx>
        <c:axId val="34133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ID du client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4021377"/>
        <c:crosses val="autoZero"/>
        <c:auto val="1"/>
        <c:lblAlgn val="ctr"/>
        <c:lblOffset val="100"/>
        <c:noMultiLvlLbl val="0"/>
      </c:catAx>
      <c:valAx>
        <c:axId val="840213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Nombre d'achats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cross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4133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Montant des achats en fonction du temps passé sur le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cc0000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c0000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9.95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</c:v>
                </c:pt>
                <c:pt idx="38">
                  <c:v>4.55</c:v>
                </c:pt>
                <c:pt idx="39">
                  <c:v>6.55</c:v>
                </c:pt>
                <c:pt idx="40">
                  <c:v>4.15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</c:v>
                </c:pt>
                <c:pt idx="59">
                  <c:v>9.2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9.87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</c:v>
                </c:pt>
                <c:pt idx="109">
                  <c:v>4.64</c:v>
                </c:pt>
                <c:pt idx="110">
                  <c:v>5.66</c:v>
                </c:pt>
                <c:pt idx="111">
                  <c:v>9.03</c:v>
                </c:pt>
                <c:pt idx="112">
                  <c:v>5.93</c:v>
                </c:pt>
                <c:pt idx="113">
                  <c:v>9.03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5.1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4.14</c:v>
                </c:pt>
                <c:pt idx="129">
                  <c:v>9.28</c:v>
                </c:pt>
                <c:pt idx="130">
                  <c:v>6.76</c:v>
                </c:pt>
                <c:pt idx="131">
                  <c:v>6.16</c:v>
                </c:pt>
                <c:pt idx="132">
                  <c:v>8.22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</c:v>
                </c:pt>
                <c:pt idx="163">
                  <c:v>8.24</c:v>
                </c:pt>
                <c:pt idx="164">
                  <c:v>6.63</c:v>
                </c:pt>
                <c:pt idx="165">
                  <c:v>8.29</c:v>
                </c:pt>
                <c:pt idx="166">
                  <c:v>8.65</c:v>
                </c:pt>
                <c:pt idx="167">
                  <c:v>9.21</c:v>
                </c:pt>
                <c:pt idx="168">
                  <c:v>9.05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</c:v>
                </c:pt>
                <c:pt idx="180">
                  <c:v>4.15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8.54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4.14</c:v>
                </c:pt>
                <c:pt idx="213">
                  <c:v>6.63</c:v>
                </c:pt>
                <c:pt idx="214">
                  <c:v>7.68</c:v>
                </c:pt>
                <c:pt idx="215">
                  <c:v>8.47</c:v>
                </c:pt>
                <c:pt idx="216">
                  <c:v>4.52</c:v>
                </c:pt>
                <c:pt idx="217">
                  <c:v>8.39</c:v>
                </c:pt>
                <c:pt idx="218">
                  <c:v>8.86</c:v>
                </c:pt>
                <c:pt idx="219">
                  <c:v>9.46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</c:v>
                </c:pt>
                <c:pt idx="234">
                  <c:v>5.46</c:v>
                </c:pt>
                <c:pt idx="235">
                  <c:v>4.3</c:v>
                </c:pt>
                <c:pt idx="236">
                  <c:v>4.44</c:v>
                </c:pt>
                <c:pt idx="237">
                  <c:v>4.68</c:v>
                </c:pt>
                <c:pt idx="238">
                  <c:v>8.55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4.77</c:v>
                </c:pt>
                <c:pt idx="258">
                  <c:v>8.34</c:v>
                </c:pt>
                <c:pt idx="259">
                  <c:v>9.38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8.12</c:v>
                </c:pt>
                <c:pt idx="270">
                  <c:v>9.78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5.1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</c:v>
                </c:pt>
                <c:pt idx="290">
                  <c:v>6.81</c:v>
                </c:pt>
                <c:pt idx="291">
                  <c:v>9.31</c:v>
                </c:pt>
                <c:pt idx="292">
                  <c:v>4.11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4.14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8.54</c:v>
                </c:pt>
                <c:pt idx="308">
                  <c:v>7.18</c:v>
                </c:pt>
                <c:pt idx="309">
                  <c:v>8.8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9.87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5.1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8.79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</c:v>
                </c:pt>
                <c:pt idx="353">
                  <c:v>7.58</c:v>
                </c:pt>
                <c:pt idx="354">
                  <c:v>9.04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4.02</c:v>
                </c:pt>
                <c:pt idx="374">
                  <c:v>9.53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8.29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</c:v>
                </c:pt>
                <c:pt idx="418">
                  <c:v>6.75</c:v>
                </c:pt>
                <c:pt idx="419">
                  <c:v>8.88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9.2</c:v>
                </c:pt>
                <c:pt idx="442">
                  <c:v>6.32</c:v>
                </c:pt>
                <c:pt idx="443">
                  <c:v>4.39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4.85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</c:v>
                </c:pt>
                <c:pt idx="456">
                  <c:v>7.46</c:v>
                </c:pt>
                <c:pt idx="457">
                  <c:v>5.86</c:v>
                </c:pt>
                <c:pt idx="458">
                  <c:v>9.2</c:v>
                </c:pt>
                <c:pt idx="459">
                  <c:v>4.46</c:v>
                </c:pt>
                <c:pt idx="460">
                  <c:v>9.44</c:v>
                </c:pt>
                <c:pt idx="461">
                  <c:v>9.47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</c:v>
                </c:pt>
                <c:pt idx="475">
                  <c:v>4.64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4.06</c:v>
                </c:pt>
                <c:pt idx="484">
                  <c:v>4.15</c:v>
                </c:pt>
                <c:pt idx="485">
                  <c:v>4.31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8.7</c:v>
                </c:pt>
                <c:pt idx="522">
                  <c:v>8.68</c:v>
                </c:pt>
                <c:pt idx="523">
                  <c:v>4.78</c:v>
                </c:pt>
                <c:pt idx="524">
                  <c:v>4.39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8.12</c:v>
                </c:pt>
                <c:pt idx="535">
                  <c:v>6.65</c:v>
                </c:pt>
                <c:pt idx="536">
                  <c:v>8.69</c:v>
                </c:pt>
                <c:pt idx="537">
                  <c:v>8.04</c:v>
                </c:pt>
                <c:pt idx="538">
                  <c:v>5.1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8.78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9.53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2.3</c:v>
                </c:pt>
                <c:pt idx="568">
                  <c:v>3</c:v>
                </c:pt>
                <c:pt idx="569">
                  <c:v>2.6</c:v>
                </c:pt>
                <c:pt idx="570">
                  <c:v>2.3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2.3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10.2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#,##0.00" €"_-;\-* #,##0.00" €"_-;_-* \-??" 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81.57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80.99</c:v>
                </c:pt>
                <c:pt idx="19">
                  <c:v>74.24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</c:v>
                </c:pt>
                <c:pt idx="34">
                  <c:v>77.4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</c:v>
                </c:pt>
                <c:pt idx="84">
                  <c:v>79.35</c:v>
                </c:pt>
                <c:pt idx="85">
                  <c:v>56.7</c:v>
                </c:pt>
                <c:pt idx="86">
                  <c:v>64.6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68.96</c:v>
                </c:pt>
                <c:pt idx="105">
                  <c:v>81.68</c:v>
                </c:pt>
                <c:pt idx="106">
                  <c:v>75.74</c:v>
                </c:pt>
                <c:pt idx="107">
                  <c:v>52.45</c:v>
                </c:pt>
                <c:pt idx="108">
                  <c:v>68.07</c:v>
                </c:pt>
                <c:pt idx="109">
                  <c:v>51.67</c:v>
                </c:pt>
                <c:pt idx="110">
                  <c:v>48.8</c:v>
                </c:pt>
                <c:pt idx="111">
                  <c:v>77.07</c:v>
                </c:pt>
                <c:pt idx="112">
                  <c:v>53.41</c:v>
                </c:pt>
                <c:pt idx="113">
                  <c:v>68.26</c:v>
                </c:pt>
                <c:pt idx="114">
                  <c:v>77.38</c:v>
                </c:pt>
                <c:pt idx="115">
                  <c:v>65.4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35.8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70.49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76.96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66.71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75.46</c:v>
                </c:pt>
                <c:pt idx="186">
                  <c:v>33.05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66.21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65.21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</c:v>
                </c:pt>
                <c:pt idx="259">
                  <c:v>79.9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71.6</c:v>
                </c:pt>
                <c:pt idx="278">
                  <c:v>51.89</c:v>
                </c:pt>
                <c:pt idx="279">
                  <c:v>65.26</c:v>
                </c:pt>
                <c:pt idx="280">
                  <c:v>70.74</c:v>
                </c:pt>
                <c:pt idx="281">
                  <c:v>62.56</c:v>
                </c:pt>
                <c:pt idx="282">
                  <c:v>83.08</c:v>
                </c:pt>
                <c:pt idx="283">
                  <c:v>71.04</c:v>
                </c:pt>
                <c:pt idx="284">
                  <c:v>44.64</c:v>
                </c:pt>
                <c:pt idx="285">
                  <c:v>46.56</c:v>
                </c:pt>
                <c:pt idx="286">
                  <c:v>38.09</c:v>
                </c:pt>
                <c:pt idx="287">
                  <c:v>66.43</c:v>
                </c:pt>
                <c:pt idx="288">
                  <c:v>36.99</c:v>
                </c:pt>
                <c:pt idx="289">
                  <c:v>99.96</c:v>
                </c:pt>
                <c:pt idx="290">
                  <c:v>70.04</c:v>
                </c:pt>
                <c:pt idx="291">
                  <c:v>77.76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69.1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77.32</c:v>
                </c:pt>
                <c:pt idx="342">
                  <c:v>54.74</c:v>
                </c:pt>
                <c:pt idx="343">
                  <c:v>47.91</c:v>
                </c:pt>
                <c:pt idx="344">
                  <c:v>77.99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34.41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74.74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20.31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71.07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</c:v>
                </c:pt>
                <c:pt idx="417">
                  <c:v>78.83</c:v>
                </c:pt>
                <c:pt idx="418">
                  <c:v>79.99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67.74</c:v>
                </c:pt>
                <c:pt idx="427">
                  <c:v>43.41</c:v>
                </c:pt>
                <c:pt idx="428">
                  <c:v>42.91</c:v>
                </c:pt>
                <c:pt idx="429">
                  <c:v>66.65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</c:v>
                </c:pt>
                <c:pt idx="442">
                  <c:v>73.26</c:v>
                </c:pt>
                <c:pt idx="443">
                  <c:v>20.17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34.05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66.96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132.73</c:v>
                </c:pt>
                <c:pt idx="512">
                  <c:v>72.35</c:v>
                </c:pt>
                <c:pt idx="513">
                  <c:v>62.64</c:v>
                </c:pt>
                <c:pt idx="514">
                  <c:v>67.07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69.07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1"/>
        </c:ser>
        <c:axId val="5730002"/>
        <c:axId val="42803929"/>
      </c:scatterChart>
      <c:valAx>
        <c:axId val="5730002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Temps d'achat 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2803929"/>
        <c:crosses val="autoZero"/>
        <c:crossBetween val="midCat"/>
      </c:valAx>
      <c:valAx>
        <c:axId val="4280392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Montant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\ [$€-1]" sourceLinked="0"/>
        <c:majorTickMark val="none"/>
        <c:minorTickMark val="cross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7300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Répartition des ventes pour le mois de Février 2020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8761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465a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'DATA Février (clients affiliés)'!$F$2:$G$2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'DATA Février (clients affiliés)'!$F$4:$G$4</c:f>
              <c:numCache>
                <c:formatCode>0.00\ %</c:formatCode>
                <c:ptCount val="2"/>
                <c:pt idx="0">
                  <c:v>0.37223619560131</c:v>
                </c:pt>
                <c:pt idx="1">
                  <c:v>0.62776380439869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19</xdr:row>
      <xdr:rowOff>247680</xdr:rowOff>
    </xdr:from>
    <xdr:to>
      <xdr:col>9</xdr:col>
      <xdr:colOff>545760</xdr:colOff>
      <xdr:row>41</xdr:row>
      <xdr:rowOff>151920</xdr:rowOff>
    </xdr:to>
    <xdr:graphicFrame>
      <xdr:nvGraphicFramePr>
        <xdr:cNvPr id="0" name="Chart 1"/>
        <xdr:cNvGraphicFramePr/>
      </xdr:nvGraphicFramePr>
      <xdr:xfrm>
        <a:off x="862920" y="4181400"/>
        <a:ext cx="9953280" cy="452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57240</xdr:colOff>
      <xdr:row>44</xdr:row>
      <xdr:rowOff>276480</xdr:rowOff>
    </xdr:from>
    <xdr:to>
      <xdr:col>9</xdr:col>
      <xdr:colOff>545760</xdr:colOff>
      <xdr:row>66</xdr:row>
      <xdr:rowOff>66240</xdr:rowOff>
    </xdr:to>
    <xdr:graphicFrame>
      <xdr:nvGraphicFramePr>
        <xdr:cNvPr id="1" name="Chart 2"/>
        <xdr:cNvGraphicFramePr/>
      </xdr:nvGraphicFramePr>
      <xdr:xfrm>
        <a:off x="862920" y="9429840"/>
        <a:ext cx="9953280" cy="44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57240</xdr:colOff>
      <xdr:row>69</xdr:row>
      <xdr:rowOff>237960</xdr:rowOff>
    </xdr:from>
    <xdr:to>
      <xdr:col>9</xdr:col>
      <xdr:colOff>412560</xdr:colOff>
      <xdr:row>91</xdr:row>
      <xdr:rowOff>28080</xdr:rowOff>
    </xdr:to>
    <xdr:graphicFrame>
      <xdr:nvGraphicFramePr>
        <xdr:cNvPr id="2" name="Chart 3"/>
        <xdr:cNvGraphicFramePr/>
      </xdr:nvGraphicFramePr>
      <xdr:xfrm>
        <a:off x="862920" y="14611320"/>
        <a:ext cx="9820080" cy="44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57240</xdr:colOff>
      <xdr:row>94</xdr:row>
      <xdr:rowOff>276120</xdr:rowOff>
    </xdr:from>
    <xdr:to>
      <xdr:col>9</xdr:col>
      <xdr:colOff>517320</xdr:colOff>
      <xdr:row>116</xdr:row>
      <xdr:rowOff>66240</xdr:rowOff>
    </xdr:to>
    <xdr:graphicFrame>
      <xdr:nvGraphicFramePr>
        <xdr:cNvPr id="3" name="Chart 4"/>
        <xdr:cNvGraphicFramePr/>
      </xdr:nvGraphicFramePr>
      <xdr:xfrm>
        <a:off x="862920" y="19869120"/>
        <a:ext cx="9924840" cy="44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942840</xdr:colOff>
      <xdr:row>119</xdr:row>
      <xdr:rowOff>314280</xdr:rowOff>
    </xdr:from>
    <xdr:to>
      <xdr:col>7</xdr:col>
      <xdr:colOff>610920</xdr:colOff>
      <xdr:row>141</xdr:row>
      <xdr:rowOff>56880</xdr:rowOff>
    </xdr:to>
    <xdr:graphicFrame>
      <xdr:nvGraphicFramePr>
        <xdr:cNvPr id="4" name="Chart 5"/>
        <xdr:cNvGraphicFramePr/>
      </xdr:nvGraphicFramePr>
      <xdr:xfrm>
        <a:off x="3259440" y="25126920"/>
        <a:ext cx="5638320" cy="436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assement_clients_et_détail_de_vente" displayName="Classement_clients_et_détail_de_vente" ref="I7:P81" headerRowCount="1" totalsRowCount="0" totalsRowShown="0">
  <tableColumns count="8">
    <tableColumn id="1" name="Classement"/>
    <tableColumn id="2" name="ID Client"/>
    <tableColumn id="3" name="Nb achat total"/>
    <tableColumn id="4" name="Biens de conso"/>
    <tableColumn id="5" name="CA biens de conso"/>
    <tableColumn id="6" name="Nourriture"/>
    <tableColumn id="7" name="CA Nourriture"/>
    <tableColumn id="8" name="CA total"/>
  </tableColumns>
</table>
</file>

<file path=xl/tables/table2.xml><?xml version="1.0" encoding="utf-8"?>
<table xmlns="http://schemas.openxmlformats.org/spreadsheetml/2006/main" id="2" name="Table_1" displayName="Table_1" ref="A1:D661" headerRowCount="1" totalsRowCount="0" totalsRowShown="0">
  <tableColumns count="4">
    <tableColumn id="1" name="ID client"/>
    <tableColumn id="2" name="Temps d'achat"/>
    <tableColumn id="3" name="Montant"/>
    <tableColumn id="4" name="Categorie"/>
  </tableColumns>
</table>
</file>

<file path=xl/tables/table3.xml><?xml version="1.0" encoding="utf-8"?>
<table xmlns="http://schemas.openxmlformats.org/spreadsheetml/2006/main" id="3" name="Tableau_des_ventes_par_client" displayName="Tableau_des_ventes_par_client" ref="A4:G78" headerRowCount="1" totalsRowCount="0" totalsRowShown="0">
  <tableColumns count="7">
    <tableColumn id="1" name="ID Client"/>
    <tableColumn id="2" name="Nb achat total"/>
    <tableColumn id="3" name="Nb achat biens de conso"/>
    <tableColumn id="4" name="CA biens de conso"/>
    <tableColumn id="5" name="Nb achat nourriture"/>
    <tableColumn id="6" name="CA Nourriture"/>
    <tableColumn id="7" name="CA total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I15" activeCellId="0" sqref="I1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1.43"/>
    <col collapsed="false" customWidth="true" hidden="false" outlineLevel="0" max="3" min="3" style="0" width="17.86"/>
    <col collapsed="false" customWidth="true" hidden="false" outlineLevel="0" max="8" min="4" style="0" width="16.71"/>
    <col collapsed="false" customWidth="true" hidden="false" outlineLevel="0" max="9" min="9" style="0" width="11.43"/>
    <col collapsed="false" customWidth="true" hidden="false" outlineLevel="0" max="10" min="10" style="0" width="16.71"/>
    <col collapsed="false" customWidth="true" hidden="false" outlineLevel="0" max="26" min="11" style="0" width="10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1.5" hidden="false" customHeight="fals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1"/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5" t="s">
        <v>6</v>
      </c>
      <c r="I6" s="1"/>
      <c r="J6" s="6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false" outlineLevel="0" collapsed="false">
      <c r="A7" s="1"/>
      <c r="B7" s="1"/>
      <c r="C7" s="3"/>
      <c r="D7" s="4"/>
      <c r="E7" s="4"/>
      <c r="F7" s="4"/>
      <c r="G7" s="4"/>
      <c r="H7" s="5"/>
      <c r="I7" s="1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false" outlineLevel="0" collapsed="false">
      <c r="A8" s="1"/>
      <c r="B8" s="7" t="s">
        <v>8</v>
      </c>
      <c r="C8" s="8" t="n">
        <v>10543</v>
      </c>
      <c r="D8" s="9" t="n">
        <v>11458</v>
      </c>
      <c r="E8" s="9" t="n">
        <v>13520</v>
      </c>
      <c r="F8" s="9" t="n">
        <v>14023</v>
      </c>
      <c r="G8" s="9" t="n">
        <v>14983</v>
      </c>
      <c r="H8" s="10" t="n">
        <v>14764</v>
      </c>
      <c r="I8" s="11"/>
      <c r="J8" s="12" t="n">
        <f aca="false">SUM(C8:H8)</f>
        <v>79291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13" t="s">
        <v>9</v>
      </c>
      <c r="C9" s="14" t="n">
        <v>13855</v>
      </c>
      <c r="D9" s="15" t="n">
        <v>16052</v>
      </c>
      <c r="E9" s="15" t="n">
        <v>16797</v>
      </c>
      <c r="F9" s="15" t="n">
        <v>17582</v>
      </c>
      <c r="G9" s="15" t="n">
        <v>18216</v>
      </c>
      <c r="H9" s="16" t="n">
        <v>24899</v>
      </c>
      <c r="I9" s="11"/>
      <c r="J9" s="17" t="n">
        <f aca="false">SUM(C9:H9)</f>
        <v>107401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1"/>
      <c r="B10" s="18" t="s">
        <v>10</v>
      </c>
      <c r="C10" s="19" t="n">
        <v>3002</v>
      </c>
      <c r="D10" s="20" t="n">
        <v>3769</v>
      </c>
      <c r="E10" s="20" t="n">
        <v>4230</v>
      </c>
      <c r="F10" s="20" t="n">
        <v>4341</v>
      </c>
      <c r="G10" s="20" t="n">
        <v>2713</v>
      </c>
      <c r="H10" s="10" t="n">
        <v>0</v>
      </c>
      <c r="I10" s="11"/>
      <c r="J10" s="21" t="n">
        <f aca="false"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2.5" hidden="false" customHeight="true" outlineLevel="0" collapsed="false">
      <c r="A11" s="1"/>
      <c r="B11" s="22" t="s">
        <v>11</v>
      </c>
      <c r="C11" s="23" t="n">
        <v>27400</v>
      </c>
      <c r="D11" s="24" t="n">
        <v>31279</v>
      </c>
      <c r="E11" s="24" t="n">
        <v>34547</v>
      </c>
      <c r="F11" s="24" t="n">
        <v>35946</v>
      </c>
      <c r="G11" s="24" t="n">
        <v>35912</v>
      </c>
      <c r="H11" s="25" t="n">
        <f aca="false">SUM(H8:H10)</f>
        <v>39663</v>
      </c>
      <c r="I11" s="26"/>
      <c r="J11" s="27" t="n">
        <f aca="false">SUM(C11:H11)</f>
        <v>204747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false" outlineLevel="0" collapsed="false">
      <c r="A14" s="1"/>
      <c r="B14" s="28" t="s">
        <v>12</v>
      </c>
      <c r="C14" s="29" t="s">
        <v>13</v>
      </c>
      <c r="D14" s="30" t="s">
        <v>14</v>
      </c>
      <c r="E14" s="1"/>
      <c r="F14" s="1"/>
      <c r="G14" s="3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false" outlineLevel="0" collapsed="false">
      <c r="A15" s="1"/>
      <c r="B15" s="32" t="s">
        <v>15</v>
      </c>
      <c r="C15" s="33" t="n">
        <v>47</v>
      </c>
      <c r="D15" s="34" t="n">
        <v>1562.73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false" outlineLevel="0" collapsed="false">
      <c r="A16" s="1"/>
      <c r="B16" s="35" t="s">
        <v>16</v>
      </c>
      <c r="C16" s="36" t="n">
        <v>91</v>
      </c>
      <c r="D16" s="37" t="n">
        <v>7577.32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33" hidden="false" customHeight="true" outlineLevel="0" collapsed="false">
      <c r="A20" s="1"/>
      <c r="B20" s="28" t="s">
        <v>17</v>
      </c>
      <c r="C20" s="28"/>
      <c r="D20" s="28"/>
      <c r="E20" s="28"/>
      <c r="F20" s="28"/>
      <c r="G20" s="28"/>
      <c r="H20" s="28"/>
      <c r="I20" s="28"/>
      <c r="J20" s="2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38"/>
      <c r="C21" s="1"/>
      <c r="D21" s="1"/>
      <c r="E21" s="1"/>
      <c r="F21" s="1"/>
      <c r="G21" s="1"/>
      <c r="H21" s="1"/>
      <c r="I21" s="1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38"/>
      <c r="C22" s="1"/>
      <c r="D22" s="1"/>
      <c r="E22" s="1"/>
      <c r="F22" s="1"/>
      <c r="G22" s="1"/>
      <c r="H22" s="1"/>
      <c r="I22" s="1"/>
      <c r="J22" s="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38"/>
      <c r="C23" s="1"/>
      <c r="D23" s="1"/>
      <c r="E23" s="1"/>
      <c r="F23" s="1"/>
      <c r="G23" s="1"/>
      <c r="H23" s="1"/>
      <c r="I23" s="1"/>
      <c r="J23" s="3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38"/>
      <c r="C24" s="1"/>
      <c r="D24" s="1"/>
      <c r="E24" s="1"/>
      <c r="F24" s="1"/>
      <c r="G24" s="1"/>
      <c r="H24" s="1"/>
      <c r="I24" s="1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38"/>
      <c r="C25" s="1"/>
      <c r="D25" s="1"/>
      <c r="E25" s="1"/>
      <c r="F25" s="1"/>
      <c r="G25" s="1"/>
      <c r="H25" s="1"/>
      <c r="I25" s="1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38"/>
      <c r="C26" s="1"/>
      <c r="D26" s="1"/>
      <c r="E26" s="1"/>
      <c r="F26" s="1"/>
      <c r="G26" s="1"/>
      <c r="H26" s="1"/>
      <c r="I26" s="1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38"/>
      <c r="C27" s="1"/>
      <c r="D27" s="1"/>
      <c r="E27" s="1"/>
      <c r="F27" s="1"/>
      <c r="G27" s="1"/>
      <c r="H27" s="1"/>
      <c r="I27" s="1"/>
      <c r="J27" s="3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38"/>
      <c r="C28" s="1"/>
      <c r="D28" s="1"/>
      <c r="E28" s="1"/>
      <c r="F28" s="1"/>
      <c r="G28" s="1"/>
      <c r="H28" s="1"/>
      <c r="I28" s="1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38"/>
      <c r="C29" s="1"/>
      <c r="D29" s="1"/>
      <c r="E29" s="1"/>
      <c r="F29" s="1"/>
      <c r="G29" s="1"/>
      <c r="H29" s="1"/>
      <c r="I29" s="1"/>
      <c r="J29" s="3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38"/>
      <c r="C30" s="1"/>
      <c r="D30" s="1"/>
      <c r="E30" s="1"/>
      <c r="F30" s="1"/>
      <c r="G30" s="1"/>
      <c r="H30" s="1"/>
      <c r="I30" s="1"/>
      <c r="J30" s="3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38"/>
      <c r="C31" s="1"/>
      <c r="D31" s="1"/>
      <c r="E31" s="1"/>
      <c r="F31" s="1"/>
      <c r="G31" s="1"/>
      <c r="H31" s="1"/>
      <c r="I31" s="1"/>
      <c r="J31" s="3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38"/>
      <c r="C32" s="1"/>
      <c r="D32" s="1"/>
      <c r="E32" s="1"/>
      <c r="F32" s="1"/>
      <c r="G32" s="1"/>
      <c r="H32" s="1"/>
      <c r="I32" s="1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38"/>
      <c r="C33" s="1"/>
      <c r="D33" s="1"/>
      <c r="E33" s="1"/>
      <c r="F33" s="1"/>
      <c r="G33" s="1"/>
      <c r="H33" s="1"/>
      <c r="I33" s="1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38"/>
      <c r="C34" s="1"/>
      <c r="D34" s="1"/>
      <c r="E34" s="1"/>
      <c r="F34" s="1"/>
      <c r="G34" s="1"/>
      <c r="H34" s="1"/>
      <c r="I34" s="1"/>
      <c r="J34" s="3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38"/>
      <c r="C35" s="1"/>
      <c r="D35" s="1"/>
      <c r="E35" s="1"/>
      <c r="F35" s="1"/>
      <c r="G35" s="1"/>
      <c r="H35" s="1"/>
      <c r="I35" s="1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38"/>
      <c r="C36" s="1"/>
      <c r="D36" s="1"/>
      <c r="E36" s="1"/>
      <c r="F36" s="1"/>
      <c r="G36" s="1"/>
      <c r="H36" s="1"/>
      <c r="I36" s="1"/>
      <c r="J36" s="3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38"/>
      <c r="C37" s="1"/>
      <c r="D37" s="1"/>
      <c r="E37" s="1"/>
      <c r="F37" s="1"/>
      <c r="G37" s="1"/>
      <c r="H37" s="1"/>
      <c r="I37" s="1"/>
      <c r="J37" s="3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38"/>
      <c r="C38" s="1"/>
      <c r="D38" s="1"/>
      <c r="E38" s="1"/>
      <c r="F38" s="1"/>
      <c r="G38" s="1"/>
      <c r="H38" s="1"/>
      <c r="I38" s="1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38"/>
      <c r="C39" s="1"/>
      <c r="D39" s="1"/>
      <c r="E39" s="1"/>
      <c r="F39" s="1"/>
      <c r="G39" s="1"/>
      <c r="H39" s="1"/>
      <c r="I39" s="1"/>
      <c r="J39" s="3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38"/>
      <c r="C40" s="1"/>
      <c r="D40" s="1"/>
      <c r="E40" s="1"/>
      <c r="F40" s="1"/>
      <c r="G40" s="1"/>
      <c r="H40" s="1"/>
      <c r="I40" s="1"/>
      <c r="J40" s="3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38"/>
      <c r="C41" s="1"/>
      <c r="D41" s="1"/>
      <c r="E41" s="1"/>
      <c r="F41" s="1"/>
      <c r="G41" s="1"/>
      <c r="H41" s="1"/>
      <c r="I41" s="1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38"/>
      <c r="C42" s="1"/>
      <c r="D42" s="1"/>
      <c r="E42" s="1"/>
      <c r="F42" s="1"/>
      <c r="G42" s="1"/>
      <c r="H42" s="1"/>
      <c r="I42" s="1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40"/>
      <c r="C43" s="41"/>
      <c r="D43" s="41"/>
      <c r="E43" s="41"/>
      <c r="F43" s="41"/>
      <c r="G43" s="41"/>
      <c r="H43" s="41"/>
      <c r="I43" s="41"/>
      <c r="J43" s="4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33" hidden="false" customHeight="true" outlineLevel="0" collapsed="false">
      <c r="A45" s="1"/>
      <c r="B45" s="28" t="s">
        <v>18</v>
      </c>
      <c r="C45" s="28"/>
      <c r="D45" s="28"/>
      <c r="E45" s="28"/>
      <c r="F45" s="28"/>
      <c r="G45" s="28"/>
      <c r="H45" s="28"/>
      <c r="I45" s="28"/>
      <c r="J45" s="2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38"/>
      <c r="C46" s="1"/>
      <c r="D46" s="1"/>
      <c r="E46" s="1"/>
      <c r="F46" s="1"/>
      <c r="G46" s="1"/>
      <c r="H46" s="1"/>
      <c r="I46" s="1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38"/>
      <c r="C47" s="1"/>
      <c r="D47" s="1"/>
      <c r="E47" s="1"/>
      <c r="F47" s="1"/>
      <c r="G47" s="1"/>
      <c r="H47" s="1"/>
      <c r="I47" s="1"/>
      <c r="J47" s="3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38"/>
      <c r="C48" s="1"/>
      <c r="D48" s="1"/>
      <c r="E48" s="1"/>
      <c r="F48" s="1"/>
      <c r="G48" s="1"/>
      <c r="H48" s="1"/>
      <c r="I48" s="1"/>
      <c r="J48" s="3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38"/>
      <c r="C49" s="1"/>
      <c r="D49" s="1"/>
      <c r="E49" s="1"/>
      <c r="F49" s="1"/>
      <c r="G49" s="1"/>
      <c r="H49" s="1"/>
      <c r="I49" s="1"/>
      <c r="J49" s="3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38"/>
      <c r="C50" s="1"/>
      <c r="D50" s="1"/>
      <c r="E50" s="1"/>
      <c r="F50" s="1"/>
      <c r="G50" s="1"/>
      <c r="H50" s="1"/>
      <c r="I50" s="1"/>
      <c r="J50" s="3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38"/>
      <c r="C51" s="1"/>
      <c r="D51" s="1"/>
      <c r="E51" s="1"/>
      <c r="F51" s="1"/>
      <c r="G51" s="1"/>
      <c r="H51" s="1"/>
      <c r="I51" s="1"/>
      <c r="J51" s="3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38"/>
      <c r="C52" s="1"/>
      <c r="D52" s="1"/>
      <c r="E52" s="1"/>
      <c r="F52" s="1"/>
      <c r="G52" s="1"/>
      <c r="H52" s="1"/>
      <c r="I52" s="1"/>
      <c r="J52" s="3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38"/>
      <c r="C53" s="1"/>
      <c r="D53" s="1"/>
      <c r="E53" s="1"/>
      <c r="F53" s="1"/>
      <c r="G53" s="1"/>
      <c r="H53" s="1"/>
      <c r="I53" s="1"/>
      <c r="J53" s="3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38"/>
      <c r="C54" s="1"/>
      <c r="D54" s="1"/>
      <c r="E54" s="1"/>
      <c r="F54" s="1"/>
      <c r="G54" s="1"/>
      <c r="H54" s="1"/>
      <c r="I54" s="1"/>
      <c r="J54" s="3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38"/>
      <c r="C55" s="1"/>
      <c r="D55" s="1"/>
      <c r="E55" s="1"/>
      <c r="F55" s="1"/>
      <c r="G55" s="1"/>
      <c r="H55" s="1"/>
      <c r="I55" s="1"/>
      <c r="J55" s="3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38"/>
      <c r="C56" s="1"/>
      <c r="D56" s="1"/>
      <c r="E56" s="1"/>
      <c r="F56" s="1"/>
      <c r="G56" s="1"/>
      <c r="H56" s="1"/>
      <c r="I56" s="1"/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38"/>
      <c r="C57" s="1"/>
      <c r="D57" s="1"/>
      <c r="E57" s="1"/>
      <c r="F57" s="1"/>
      <c r="G57" s="1"/>
      <c r="H57" s="1"/>
      <c r="I57" s="1"/>
      <c r="J57" s="3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38"/>
      <c r="C58" s="1"/>
      <c r="D58" s="1"/>
      <c r="E58" s="1"/>
      <c r="F58" s="1"/>
      <c r="G58" s="1"/>
      <c r="H58" s="1"/>
      <c r="I58" s="1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38"/>
      <c r="C59" s="1"/>
      <c r="D59" s="1"/>
      <c r="E59" s="1"/>
      <c r="F59" s="1"/>
      <c r="G59" s="1"/>
      <c r="H59" s="1"/>
      <c r="I59" s="1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38"/>
      <c r="C60" s="1"/>
      <c r="D60" s="1"/>
      <c r="E60" s="1"/>
      <c r="F60" s="1"/>
      <c r="G60" s="1"/>
      <c r="H60" s="1"/>
      <c r="I60" s="1"/>
      <c r="J60" s="3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38"/>
      <c r="C61" s="1"/>
      <c r="D61" s="1"/>
      <c r="E61" s="1"/>
      <c r="F61" s="1"/>
      <c r="G61" s="1"/>
      <c r="H61" s="1"/>
      <c r="I61" s="1"/>
      <c r="J61" s="3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38"/>
      <c r="C62" s="1"/>
      <c r="D62" s="1"/>
      <c r="E62" s="1"/>
      <c r="F62" s="1"/>
      <c r="G62" s="1"/>
      <c r="H62" s="1"/>
      <c r="I62" s="1"/>
      <c r="J62" s="3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38"/>
      <c r="C63" s="1"/>
      <c r="D63" s="1"/>
      <c r="E63" s="1"/>
      <c r="F63" s="1"/>
      <c r="G63" s="1"/>
      <c r="H63" s="1"/>
      <c r="I63" s="1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38"/>
      <c r="C64" s="1"/>
      <c r="D64" s="1"/>
      <c r="E64" s="1"/>
      <c r="F64" s="1"/>
      <c r="G64" s="1"/>
      <c r="H64" s="1"/>
      <c r="I64" s="1"/>
      <c r="J64" s="3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38"/>
      <c r="C65" s="1"/>
      <c r="D65" s="1"/>
      <c r="E65" s="1"/>
      <c r="F65" s="1"/>
      <c r="G65" s="1"/>
      <c r="H65" s="1"/>
      <c r="I65" s="1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38"/>
      <c r="C66" s="1"/>
      <c r="D66" s="1"/>
      <c r="E66" s="1"/>
      <c r="F66" s="1"/>
      <c r="G66" s="1"/>
      <c r="H66" s="1"/>
      <c r="I66" s="1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38"/>
      <c r="C67" s="1"/>
      <c r="D67" s="1"/>
      <c r="E67" s="1"/>
      <c r="F67" s="1"/>
      <c r="G67" s="1"/>
      <c r="H67" s="1"/>
      <c r="I67" s="1"/>
      <c r="J67" s="3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40"/>
      <c r="C68" s="41"/>
      <c r="D68" s="41"/>
      <c r="E68" s="41"/>
      <c r="F68" s="41"/>
      <c r="G68" s="41"/>
      <c r="H68" s="41"/>
      <c r="I68" s="41"/>
      <c r="J68" s="4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33" hidden="false" customHeight="true" outlineLevel="0" collapsed="false">
      <c r="A70" s="1"/>
      <c r="B70" s="28" t="s">
        <v>19</v>
      </c>
      <c r="C70" s="28"/>
      <c r="D70" s="28"/>
      <c r="E70" s="28"/>
      <c r="F70" s="28"/>
      <c r="G70" s="28"/>
      <c r="H70" s="28"/>
      <c r="I70" s="28"/>
      <c r="J70" s="2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38"/>
      <c r="C71" s="1"/>
      <c r="D71" s="1"/>
      <c r="E71" s="1"/>
      <c r="F71" s="1"/>
      <c r="G71" s="1"/>
      <c r="H71" s="1"/>
      <c r="I71" s="1"/>
      <c r="J71" s="39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38"/>
      <c r="C72" s="1"/>
      <c r="D72" s="1"/>
      <c r="E72" s="1"/>
      <c r="F72" s="1"/>
      <c r="G72" s="1"/>
      <c r="H72" s="1"/>
      <c r="I72" s="1"/>
      <c r="J72" s="39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38"/>
      <c r="C73" s="1"/>
      <c r="D73" s="1"/>
      <c r="E73" s="1"/>
      <c r="F73" s="1"/>
      <c r="G73" s="1"/>
      <c r="H73" s="1"/>
      <c r="I73" s="1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38"/>
      <c r="C74" s="1"/>
      <c r="D74" s="1"/>
      <c r="E74" s="1"/>
      <c r="F74" s="1"/>
      <c r="G74" s="1"/>
      <c r="H74" s="1"/>
      <c r="I74" s="1"/>
      <c r="J74" s="3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38"/>
      <c r="C75" s="1"/>
      <c r="D75" s="1"/>
      <c r="E75" s="1"/>
      <c r="F75" s="1"/>
      <c r="G75" s="1"/>
      <c r="H75" s="1"/>
      <c r="I75" s="1"/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38"/>
      <c r="C76" s="1"/>
      <c r="D76" s="1"/>
      <c r="E76" s="1"/>
      <c r="F76" s="1"/>
      <c r="G76" s="1"/>
      <c r="H76" s="1"/>
      <c r="I76" s="1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38"/>
      <c r="C77" s="1"/>
      <c r="D77" s="1"/>
      <c r="E77" s="1"/>
      <c r="F77" s="1"/>
      <c r="G77" s="1"/>
      <c r="H77" s="1"/>
      <c r="I77" s="1"/>
      <c r="J77" s="3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38"/>
      <c r="C78" s="1"/>
      <c r="D78" s="1"/>
      <c r="E78" s="1"/>
      <c r="F78" s="1"/>
      <c r="G78" s="1"/>
      <c r="H78" s="1"/>
      <c r="I78" s="1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38"/>
      <c r="C79" s="1"/>
      <c r="D79" s="1"/>
      <c r="E79" s="1"/>
      <c r="F79" s="1"/>
      <c r="G79" s="1"/>
      <c r="H79" s="1"/>
      <c r="I79" s="1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38"/>
      <c r="C80" s="1"/>
      <c r="D80" s="1"/>
      <c r="E80" s="1"/>
      <c r="F80" s="1"/>
      <c r="G80" s="1"/>
      <c r="H80" s="1"/>
      <c r="I80" s="1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38"/>
      <c r="C81" s="1"/>
      <c r="D81" s="1"/>
      <c r="E81" s="1"/>
      <c r="F81" s="1"/>
      <c r="G81" s="1"/>
      <c r="H81" s="1"/>
      <c r="I81" s="1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38"/>
      <c r="C82" s="1"/>
      <c r="D82" s="1"/>
      <c r="E82" s="1"/>
      <c r="F82" s="1"/>
      <c r="G82" s="1"/>
      <c r="H82" s="1"/>
      <c r="I82" s="1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38"/>
      <c r="C83" s="1"/>
      <c r="D83" s="1"/>
      <c r="E83" s="1"/>
      <c r="F83" s="1"/>
      <c r="G83" s="1"/>
      <c r="H83" s="1"/>
      <c r="I83" s="1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38"/>
      <c r="C84" s="1"/>
      <c r="D84" s="1"/>
      <c r="E84" s="1"/>
      <c r="F84" s="1"/>
      <c r="G84" s="1"/>
      <c r="H84" s="1"/>
      <c r="I84" s="1"/>
      <c r="J84" s="3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38"/>
      <c r="C85" s="1"/>
      <c r="D85" s="1"/>
      <c r="E85" s="1"/>
      <c r="F85" s="1"/>
      <c r="G85" s="1"/>
      <c r="H85" s="1"/>
      <c r="I85" s="1"/>
      <c r="J85" s="3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38"/>
      <c r="C86" s="1"/>
      <c r="D86" s="1"/>
      <c r="E86" s="1"/>
      <c r="F86" s="1"/>
      <c r="G86" s="1"/>
      <c r="H86" s="1"/>
      <c r="I86" s="1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38"/>
      <c r="C87" s="1"/>
      <c r="D87" s="1"/>
      <c r="E87" s="1"/>
      <c r="F87" s="1"/>
      <c r="G87" s="1"/>
      <c r="H87" s="1"/>
      <c r="I87" s="1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38"/>
      <c r="C88" s="1"/>
      <c r="D88" s="1"/>
      <c r="E88" s="1"/>
      <c r="F88" s="1"/>
      <c r="G88" s="1"/>
      <c r="H88" s="1"/>
      <c r="I88" s="1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38"/>
      <c r="C89" s="1"/>
      <c r="D89" s="1"/>
      <c r="E89" s="1"/>
      <c r="F89" s="1"/>
      <c r="G89" s="1"/>
      <c r="H89" s="1"/>
      <c r="I89" s="1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38"/>
      <c r="C90" s="1"/>
      <c r="D90" s="1"/>
      <c r="E90" s="1"/>
      <c r="F90" s="1"/>
      <c r="G90" s="1"/>
      <c r="H90" s="1"/>
      <c r="I90" s="1"/>
      <c r="J90" s="3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38"/>
      <c r="C91" s="1"/>
      <c r="D91" s="1"/>
      <c r="E91" s="1"/>
      <c r="F91" s="1"/>
      <c r="G91" s="1"/>
      <c r="H91" s="1"/>
      <c r="I91" s="1"/>
      <c r="J91" s="3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38"/>
      <c r="C92" s="1"/>
      <c r="D92" s="1"/>
      <c r="E92" s="1"/>
      <c r="F92" s="1"/>
      <c r="G92" s="1"/>
      <c r="H92" s="1"/>
      <c r="I92" s="1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40"/>
      <c r="C93" s="41"/>
      <c r="D93" s="41"/>
      <c r="E93" s="41"/>
      <c r="F93" s="41"/>
      <c r="G93" s="41"/>
      <c r="H93" s="41"/>
      <c r="I93" s="41"/>
      <c r="J93" s="4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33" hidden="false" customHeight="true" outlineLevel="0" collapsed="false">
      <c r="A95" s="1"/>
      <c r="B95" s="28" t="s">
        <v>20</v>
      </c>
      <c r="C95" s="28"/>
      <c r="D95" s="28"/>
      <c r="E95" s="28"/>
      <c r="F95" s="28"/>
      <c r="G95" s="28"/>
      <c r="H95" s="28"/>
      <c r="I95" s="28"/>
      <c r="J95" s="2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38"/>
      <c r="C96" s="1"/>
      <c r="D96" s="1"/>
      <c r="E96" s="1"/>
      <c r="F96" s="1"/>
      <c r="G96" s="1"/>
      <c r="H96" s="1"/>
      <c r="I96" s="1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38"/>
      <c r="C97" s="1"/>
      <c r="D97" s="1"/>
      <c r="E97" s="1"/>
      <c r="F97" s="1"/>
      <c r="G97" s="1"/>
      <c r="H97" s="1"/>
      <c r="I97" s="1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38"/>
      <c r="C98" s="1"/>
      <c r="D98" s="1"/>
      <c r="E98" s="1"/>
      <c r="F98" s="1"/>
      <c r="G98" s="1"/>
      <c r="H98" s="1"/>
      <c r="I98" s="1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38"/>
      <c r="C99" s="1"/>
      <c r="D99" s="1"/>
      <c r="E99" s="1"/>
      <c r="F99" s="1"/>
      <c r="G99" s="1"/>
      <c r="H99" s="1"/>
      <c r="I99" s="1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38"/>
      <c r="C100" s="1"/>
      <c r="D100" s="1"/>
      <c r="E100" s="1"/>
      <c r="F100" s="1"/>
      <c r="G100" s="1"/>
      <c r="H100" s="1"/>
      <c r="I100" s="1"/>
      <c r="J100" s="3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38"/>
      <c r="C101" s="1"/>
      <c r="D101" s="1"/>
      <c r="E101" s="1"/>
      <c r="F101" s="1"/>
      <c r="G101" s="1"/>
      <c r="H101" s="1"/>
      <c r="I101" s="1"/>
      <c r="J101" s="3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38"/>
      <c r="C102" s="1"/>
      <c r="D102" s="1"/>
      <c r="E102" s="1"/>
      <c r="F102" s="1"/>
      <c r="G102" s="1"/>
      <c r="H102" s="1"/>
      <c r="I102" s="1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38"/>
      <c r="C103" s="1"/>
      <c r="D103" s="1"/>
      <c r="E103" s="1"/>
      <c r="F103" s="1"/>
      <c r="G103" s="1"/>
      <c r="H103" s="1"/>
      <c r="I103" s="1"/>
      <c r="J103" s="3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38"/>
      <c r="C104" s="1"/>
      <c r="D104" s="1"/>
      <c r="E104" s="1"/>
      <c r="F104" s="1"/>
      <c r="G104" s="1"/>
      <c r="H104" s="1"/>
      <c r="I104" s="1"/>
      <c r="J104" s="3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38"/>
      <c r="C105" s="1"/>
      <c r="D105" s="1"/>
      <c r="E105" s="1"/>
      <c r="F105" s="1"/>
      <c r="G105" s="1"/>
      <c r="H105" s="1"/>
      <c r="I105" s="1"/>
      <c r="J105" s="3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38"/>
      <c r="C106" s="1"/>
      <c r="D106" s="1"/>
      <c r="E106" s="1"/>
      <c r="F106" s="1"/>
      <c r="G106" s="1"/>
      <c r="H106" s="1"/>
      <c r="I106" s="1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38"/>
      <c r="C107" s="1"/>
      <c r="D107" s="1"/>
      <c r="E107" s="1"/>
      <c r="F107" s="1"/>
      <c r="G107" s="1"/>
      <c r="H107" s="1"/>
      <c r="I107" s="1"/>
      <c r="J107" s="3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38"/>
      <c r="C108" s="1"/>
      <c r="D108" s="1"/>
      <c r="E108" s="1"/>
      <c r="F108" s="1"/>
      <c r="G108" s="1"/>
      <c r="H108" s="1"/>
      <c r="I108" s="1"/>
      <c r="J108" s="3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38"/>
      <c r="C109" s="1"/>
      <c r="D109" s="1"/>
      <c r="E109" s="1"/>
      <c r="F109" s="1"/>
      <c r="G109" s="1"/>
      <c r="H109" s="1"/>
      <c r="I109" s="1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38"/>
      <c r="C110" s="1"/>
      <c r="D110" s="1"/>
      <c r="E110" s="1"/>
      <c r="F110" s="1"/>
      <c r="G110" s="1"/>
      <c r="H110" s="1"/>
      <c r="I110" s="1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38"/>
      <c r="C111" s="1"/>
      <c r="D111" s="1"/>
      <c r="E111" s="1"/>
      <c r="F111" s="1"/>
      <c r="G111" s="1"/>
      <c r="H111" s="1"/>
      <c r="I111" s="1"/>
      <c r="J111" s="3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38"/>
      <c r="C112" s="1"/>
      <c r="D112" s="1"/>
      <c r="E112" s="1"/>
      <c r="F112" s="1"/>
      <c r="G112" s="1"/>
      <c r="H112" s="1"/>
      <c r="I112" s="1"/>
      <c r="J112" s="3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38"/>
      <c r="C113" s="1"/>
      <c r="D113" s="1"/>
      <c r="E113" s="1"/>
      <c r="F113" s="1"/>
      <c r="G113" s="1"/>
      <c r="H113" s="1"/>
      <c r="I113" s="1"/>
      <c r="J113" s="3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38"/>
      <c r="C114" s="1"/>
      <c r="D114" s="1"/>
      <c r="E114" s="1"/>
      <c r="F114" s="1"/>
      <c r="G114" s="1"/>
      <c r="H114" s="1"/>
      <c r="I114" s="1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38"/>
      <c r="C115" s="1"/>
      <c r="D115" s="1"/>
      <c r="E115" s="1"/>
      <c r="F115" s="1"/>
      <c r="G115" s="1"/>
      <c r="H115" s="1"/>
      <c r="I115" s="1"/>
      <c r="J115" s="3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38"/>
      <c r="C116" s="1"/>
      <c r="D116" s="1"/>
      <c r="E116" s="1"/>
      <c r="F116" s="1"/>
      <c r="G116" s="1"/>
      <c r="H116" s="1"/>
      <c r="I116" s="1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38"/>
      <c r="C117" s="1"/>
      <c r="D117" s="1"/>
      <c r="E117" s="1"/>
      <c r="F117" s="1"/>
      <c r="G117" s="1"/>
      <c r="H117" s="1"/>
      <c r="I117" s="1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40"/>
      <c r="C118" s="41"/>
      <c r="D118" s="41"/>
      <c r="E118" s="41"/>
      <c r="F118" s="41"/>
      <c r="G118" s="41"/>
      <c r="H118" s="41"/>
      <c r="I118" s="41"/>
      <c r="J118" s="4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33" hidden="false" customHeight="true" outlineLevel="0" collapsed="false">
      <c r="A120" s="1"/>
      <c r="B120" s="28" t="s">
        <v>21</v>
      </c>
      <c r="C120" s="28"/>
      <c r="D120" s="28"/>
      <c r="E120" s="28"/>
      <c r="F120" s="28"/>
      <c r="G120" s="28"/>
      <c r="H120" s="28"/>
      <c r="I120" s="28"/>
      <c r="J120" s="2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38"/>
      <c r="C121" s="1"/>
      <c r="D121" s="1"/>
      <c r="E121" s="1"/>
      <c r="F121" s="1"/>
      <c r="G121" s="1"/>
      <c r="H121" s="1"/>
      <c r="I121" s="1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38"/>
      <c r="C122" s="1"/>
      <c r="D122" s="1"/>
      <c r="E122" s="1"/>
      <c r="F122" s="1"/>
      <c r="G122" s="1"/>
      <c r="H122" s="1"/>
      <c r="I122" s="1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38"/>
      <c r="C123" s="1"/>
      <c r="D123" s="1"/>
      <c r="E123" s="1"/>
      <c r="F123" s="1"/>
      <c r="G123" s="1"/>
      <c r="H123" s="1"/>
      <c r="I123" s="1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38"/>
      <c r="C124" s="1"/>
      <c r="D124" s="1"/>
      <c r="E124" s="1"/>
      <c r="F124" s="1"/>
      <c r="G124" s="1"/>
      <c r="H124" s="1"/>
      <c r="I124" s="1"/>
      <c r="J124" s="3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38"/>
      <c r="C125" s="1"/>
      <c r="D125" s="1"/>
      <c r="E125" s="1"/>
      <c r="F125" s="1"/>
      <c r="G125" s="1"/>
      <c r="H125" s="1"/>
      <c r="I125" s="1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38"/>
      <c r="C126" s="1"/>
      <c r="D126" s="1"/>
      <c r="E126" s="1"/>
      <c r="F126" s="1"/>
      <c r="G126" s="1"/>
      <c r="H126" s="1"/>
      <c r="I126" s="1"/>
      <c r="J126" s="3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38"/>
      <c r="C127" s="1"/>
      <c r="D127" s="1"/>
      <c r="E127" s="1"/>
      <c r="F127" s="1"/>
      <c r="G127" s="1"/>
      <c r="H127" s="1"/>
      <c r="I127" s="1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38"/>
      <c r="C128" s="1"/>
      <c r="D128" s="1"/>
      <c r="E128" s="1"/>
      <c r="F128" s="1"/>
      <c r="G128" s="1"/>
      <c r="H128" s="1"/>
      <c r="I128" s="1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38"/>
      <c r="C129" s="1"/>
      <c r="D129" s="1"/>
      <c r="E129" s="1"/>
      <c r="F129" s="1"/>
      <c r="G129" s="1"/>
      <c r="H129" s="1"/>
      <c r="I129" s="1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38"/>
      <c r="C130" s="1"/>
      <c r="D130" s="1"/>
      <c r="E130" s="1"/>
      <c r="F130" s="1"/>
      <c r="G130" s="1"/>
      <c r="H130" s="1"/>
      <c r="I130" s="1"/>
      <c r="J130" s="3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38"/>
      <c r="C131" s="1"/>
      <c r="D131" s="1"/>
      <c r="E131" s="1"/>
      <c r="F131" s="1"/>
      <c r="G131" s="1"/>
      <c r="H131" s="1"/>
      <c r="I131" s="1"/>
      <c r="J131" s="3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38"/>
      <c r="C132" s="1"/>
      <c r="D132" s="1"/>
      <c r="E132" s="1"/>
      <c r="F132" s="1"/>
      <c r="G132" s="1"/>
      <c r="H132" s="1"/>
      <c r="I132" s="1"/>
      <c r="J132" s="3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38"/>
      <c r="C133" s="1"/>
      <c r="D133" s="1"/>
      <c r="E133" s="1"/>
      <c r="F133" s="1"/>
      <c r="G133" s="1"/>
      <c r="H133" s="1"/>
      <c r="I133" s="1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38"/>
      <c r="C134" s="1"/>
      <c r="D134" s="1"/>
      <c r="E134" s="1"/>
      <c r="F134" s="1"/>
      <c r="G134" s="1"/>
      <c r="H134" s="1"/>
      <c r="I134" s="1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38"/>
      <c r="C135" s="1"/>
      <c r="D135" s="1"/>
      <c r="E135" s="1"/>
      <c r="F135" s="1"/>
      <c r="G135" s="1"/>
      <c r="H135" s="1"/>
      <c r="I135" s="1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38"/>
      <c r="C136" s="1"/>
      <c r="D136" s="1"/>
      <c r="E136" s="1"/>
      <c r="F136" s="1"/>
      <c r="G136" s="1"/>
      <c r="H136" s="1"/>
      <c r="I136" s="1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38"/>
      <c r="C137" s="1"/>
      <c r="D137" s="1"/>
      <c r="E137" s="1"/>
      <c r="F137" s="1"/>
      <c r="G137" s="1"/>
      <c r="H137" s="1"/>
      <c r="I137" s="1"/>
      <c r="J137" s="3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38"/>
      <c r="C138" s="1"/>
      <c r="D138" s="1"/>
      <c r="E138" s="1"/>
      <c r="F138" s="1"/>
      <c r="G138" s="1"/>
      <c r="H138" s="1"/>
      <c r="I138" s="1"/>
      <c r="J138" s="3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38"/>
      <c r="C139" s="1"/>
      <c r="D139" s="1"/>
      <c r="E139" s="1"/>
      <c r="F139" s="1"/>
      <c r="G139" s="1"/>
      <c r="H139" s="1"/>
      <c r="I139" s="1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38"/>
      <c r="C140" s="1"/>
      <c r="D140" s="1"/>
      <c r="E140" s="1"/>
      <c r="F140" s="1"/>
      <c r="G140" s="1"/>
      <c r="H140" s="1"/>
      <c r="I140" s="1"/>
      <c r="J140" s="3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38"/>
      <c r="C141" s="1"/>
      <c r="D141" s="1"/>
      <c r="E141" s="1"/>
      <c r="F141" s="1"/>
      <c r="G141" s="1"/>
      <c r="H141" s="1"/>
      <c r="I141" s="1"/>
      <c r="J141" s="3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38"/>
      <c r="C142" s="1"/>
      <c r="D142" s="1"/>
      <c r="E142" s="1"/>
      <c r="F142" s="1"/>
      <c r="G142" s="1"/>
      <c r="H142" s="1"/>
      <c r="I142" s="1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40"/>
      <c r="C143" s="41"/>
      <c r="D143" s="41"/>
      <c r="E143" s="41"/>
      <c r="F143" s="41"/>
      <c r="G143" s="41"/>
      <c r="H143" s="41"/>
      <c r="I143" s="41"/>
      <c r="J143" s="4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tru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tru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tru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tru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tru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tru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tru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tru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tru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tru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tru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tru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tru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tru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tru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tru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tru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tru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tru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tru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tru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tru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tru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tru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tru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tru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tru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  <mergeCell ref="B120:J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4.86"/>
    <col collapsed="false" customWidth="true" hidden="false" outlineLevel="0" max="2" min="2" style="0" width="28.14"/>
    <col collapsed="false" customWidth="true" hidden="false" outlineLevel="0" max="3" min="3" style="0" width="20.43"/>
    <col collapsed="false" customWidth="true" hidden="false" outlineLevel="0" max="4" min="4" style="0" width="22.57"/>
    <col collapsed="false" customWidth="true" hidden="false" outlineLevel="0" max="5" min="5" style="0" width="27.29"/>
    <col collapsed="false" customWidth="true" hidden="false" outlineLevel="0" max="6" min="6" style="0" width="29.43"/>
    <col collapsed="false" customWidth="true" hidden="false" outlineLevel="0" max="7" min="7" style="0" width="23.71"/>
    <col collapsed="false" customWidth="true" hidden="false" outlineLevel="0" max="8" min="8" style="0" width="17.43"/>
    <col collapsed="false" customWidth="true" hidden="false" outlineLevel="0" max="9" min="9" style="0" width="10.71"/>
  </cols>
  <sheetData>
    <row r="1" customFormat="false" ht="15" hidden="false" customHeight="false" outlineLevel="0" collapsed="false">
      <c r="A1" s="43"/>
      <c r="B1" s="44"/>
      <c r="C1" s="44"/>
      <c r="D1" s="44"/>
      <c r="E1" s="44"/>
      <c r="F1" s="44"/>
      <c r="G1" s="44"/>
    </row>
    <row r="2" customFormat="false" ht="31.5" hidden="false" customHeight="true" outlineLevel="0" collapsed="false">
      <c r="A2" s="45" t="s">
        <v>22</v>
      </c>
      <c r="B2" s="45"/>
      <c r="C2" s="45"/>
      <c r="D2" s="45"/>
      <c r="E2" s="45"/>
      <c r="F2" s="45"/>
      <c r="G2" s="45"/>
      <c r="H2" s="45"/>
      <c r="I2" s="45"/>
    </row>
    <row r="3" customFormat="false" ht="15" hidden="false" customHeight="false" outlineLevel="0" collapsed="false">
      <c r="A3" s="43"/>
      <c r="B3" s="44"/>
      <c r="C3" s="44"/>
      <c r="D3" s="44"/>
      <c r="E3" s="44"/>
      <c r="F3" s="44"/>
      <c r="G3" s="44"/>
    </row>
    <row r="4" customFormat="false" ht="15" hidden="false" customHeight="false" outlineLevel="0" collapsed="false">
      <c r="A4" s="46" t="s">
        <v>23</v>
      </c>
      <c r="B4" s="47" t="s">
        <v>24</v>
      </c>
      <c r="C4" s="47" t="s">
        <v>25</v>
      </c>
      <c r="D4" s="48" t="s">
        <v>26</v>
      </c>
      <c r="E4" s="47" t="s">
        <v>27</v>
      </c>
      <c r="F4" s="47" t="s">
        <v>28</v>
      </c>
      <c r="G4" s="49" t="s">
        <v>29</v>
      </c>
    </row>
    <row r="5" customFormat="false" ht="15" hidden="false" customHeight="false" outlineLevel="0" collapsed="false">
      <c r="A5" s="50" t="n">
        <v>1</v>
      </c>
      <c r="B5" s="51" t="n">
        <v>9</v>
      </c>
      <c r="C5" s="51" t="n">
        <v>2</v>
      </c>
      <c r="D5" s="52" t="n">
        <v>117.05</v>
      </c>
      <c r="E5" s="51" t="n">
        <v>5</v>
      </c>
      <c r="F5" s="52" t="n">
        <v>233.41</v>
      </c>
      <c r="G5" s="53" t="n">
        <v>350.46</v>
      </c>
    </row>
    <row r="6" customFormat="false" ht="15" hidden="false" customHeight="false" outlineLevel="0" collapsed="false">
      <c r="A6" s="54" t="n">
        <v>2</v>
      </c>
      <c r="B6" s="55" t="n">
        <v>12</v>
      </c>
      <c r="C6" s="55" t="n">
        <v>2</v>
      </c>
      <c r="D6" s="56" t="n">
        <v>142.66</v>
      </c>
      <c r="E6" s="55" t="n">
        <v>10</v>
      </c>
      <c r="F6" s="56" t="n">
        <v>728.97</v>
      </c>
      <c r="G6" s="57" t="n">
        <v>871.63</v>
      </c>
    </row>
    <row r="7" customFormat="false" ht="15" hidden="false" customHeight="false" outlineLevel="0" collapsed="false">
      <c r="A7" s="50" t="n">
        <v>3</v>
      </c>
      <c r="B7" s="51" t="n">
        <v>9</v>
      </c>
      <c r="C7" s="51" t="n">
        <v>4</v>
      </c>
      <c r="D7" s="52" t="n">
        <v>309.29</v>
      </c>
      <c r="E7" s="51" t="n">
        <v>4</v>
      </c>
      <c r="F7" s="52" t="n">
        <v>275.13</v>
      </c>
      <c r="G7" s="53" t="n">
        <v>584.42</v>
      </c>
    </row>
    <row r="8" customFormat="false" ht="15" hidden="false" customHeight="false" outlineLevel="0" collapsed="false">
      <c r="A8" s="54" t="n">
        <v>4</v>
      </c>
      <c r="B8" s="55" t="n">
        <v>6</v>
      </c>
      <c r="C8" s="55" t="n">
        <v>2</v>
      </c>
      <c r="D8" s="56" t="n">
        <v>138.84</v>
      </c>
      <c r="E8" s="55" t="n">
        <v>4</v>
      </c>
      <c r="F8" s="56" t="n">
        <v>272.82</v>
      </c>
      <c r="G8" s="57" t="n">
        <v>411.66</v>
      </c>
    </row>
    <row r="9" customFormat="false" ht="15" hidden="false" customHeight="false" outlineLevel="0" collapsed="false">
      <c r="A9" s="50" t="n">
        <v>5</v>
      </c>
      <c r="B9" s="51" t="n">
        <v>13</v>
      </c>
      <c r="C9" s="51" t="n">
        <v>3</v>
      </c>
      <c r="D9" s="52" t="n">
        <v>163.14</v>
      </c>
      <c r="E9" s="51" t="n">
        <v>10</v>
      </c>
      <c r="F9" s="52" t="n">
        <v>580.52</v>
      </c>
      <c r="G9" s="53" t="n">
        <v>743.66</v>
      </c>
    </row>
    <row r="10" customFormat="false" ht="15" hidden="false" customHeight="false" outlineLevel="0" collapsed="false">
      <c r="A10" s="54" t="n">
        <v>6</v>
      </c>
      <c r="B10" s="55" t="n">
        <v>10</v>
      </c>
      <c r="C10" s="55" t="n">
        <v>6</v>
      </c>
      <c r="D10" s="56" t="n">
        <v>338.63</v>
      </c>
      <c r="E10" s="55" t="n">
        <v>4</v>
      </c>
      <c r="F10" s="56" t="n">
        <v>248.14</v>
      </c>
      <c r="G10" s="57" t="n">
        <v>586.77</v>
      </c>
    </row>
    <row r="11" customFormat="false" ht="15" hidden="false" customHeight="false" outlineLevel="0" collapsed="false">
      <c r="A11" s="50" t="n">
        <v>7</v>
      </c>
      <c r="B11" s="51" t="n">
        <v>16</v>
      </c>
      <c r="C11" s="51" t="n">
        <v>8</v>
      </c>
      <c r="D11" s="52" t="n">
        <v>536.27</v>
      </c>
      <c r="E11" s="51" t="n">
        <v>8</v>
      </c>
      <c r="F11" s="52" t="n">
        <v>320.99</v>
      </c>
      <c r="G11" s="53" t="n">
        <v>857.26</v>
      </c>
    </row>
    <row r="12" customFormat="false" ht="15" hidden="false" customHeight="false" outlineLevel="0" collapsed="false">
      <c r="A12" s="54" t="n">
        <v>8</v>
      </c>
      <c r="B12" s="55" t="n">
        <v>9</v>
      </c>
      <c r="C12" s="55" t="n">
        <v>1</v>
      </c>
      <c r="D12" s="56" t="n">
        <v>89.98</v>
      </c>
      <c r="E12" s="55" t="n">
        <v>7</v>
      </c>
      <c r="F12" s="56" t="n">
        <v>373.76</v>
      </c>
      <c r="G12" s="57" t="n">
        <v>463.74</v>
      </c>
    </row>
    <row r="13" customFormat="false" ht="15" hidden="false" customHeight="false" outlineLevel="0" collapsed="false">
      <c r="A13" s="50" t="n">
        <v>9</v>
      </c>
      <c r="B13" s="51" t="n">
        <v>16</v>
      </c>
      <c r="C13" s="51" t="n">
        <v>5</v>
      </c>
      <c r="D13" s="52" t="n">
        <v>273.39</v>
      </c>
      <c r="E13" s="51" t="n">
        <v>11</v>
      </c>
      <c r="F13" s="52" t="n">
        <v>608.84</v>
      </c>
      <c r="G13" s="53" t="n">
        <v>882.23</v>
      </c>
    </row>
    <row r="14" customFormat="false" ht="15" hidden="false" customHeight="false" outlineLevel="0" collapsed="false">
      <c r="A14" s="54" t="n">
        <v>10</v>
      </c>
      <c r="B14" s="55" t="n">
        <v>15</v>
      </c>
      <c r="C14" s="55" t="n">
        <v>5</v>
      </c>
      <c r="D14" s="56" t="n">
        <v>223.78</v>
      </c>
      <c r="E14" s="55" t="n">
        <v>10</v>
      </c>
      <c r="F14" s="56" t="n">
        <v>523.89</v>
      </c>
      <c r="G14" s="57" t="n">
        <v>747.67</v>
      </c>
    </row>
    <row r="15" customFormat="false" ht="15" hidden="false" customHeight="false" outlineLevel="0" collapsed="false">
      <c r="A15" s="50" t="n">
        <v>11</v>
      </c>
      <c r="B15" s="51" t="n">
        <v>5</v>
      </c>
      <c r="C15" s="51" t="n">
        <v>2</v>
      </c>
      <c r="D15" s="52" t="n">
        <v>103.13</v>
      </c>
      <c r="E15" s="51" t="n">
        <v>2</v>
      </c>
      <c r="F15" s="52" t="n">
        <v>99.86</v>
      </c>
      <c r="G15" s="53" t="n">
        <v>202.99</v>
      </c>
    </row>
    <row r="16" customFormat="false" ht="15" hidden="false" customHeight="false" outlineLevel="0" collapsed="false">
      <c r="A16" s="54" t="n">
        <v>12</v>
      </c>
      <c r="B16" s="55" t="n">
        <v>8</v>
      </c>
      <c r="C16" s="55" t="n">
        <v>2</v>
      </c>
      <c r="D16" s="56" t="n">
        <v>113.94</v>
      </c>
      <c r="E16" s="55" t="n">
        <v>5</v>
      </c>
      <c r="F16" s="56" t="n">
        <v>260.83</v>
      </c>
      <c r="G16" s="57" t="n">
        <v>374.77</v>
      </c>
    </row>
    <row r="17" customFormat="false" ht="15" hidden="false" customHeight="false" outlineLevel="0" collapsed="false">
      <c r="A17" s="50" t="n">
        <v>13</v>
      </c>
      <c r="B17" s="51" t="n">
        <v>11</v>
      </c>
      <c r="C17" s="51" t="n">
        <v>4</v>
      </c>
      <c r="D17" s="52" t="n">
        <v>284.57</v>
      </c>
      <c r="E17" s="51" t="n">
        <v>7</v>
      </c>
      <c r="F17" s="52" t="n">
        <v>311.83</v>
      </c>
      <c r="G17" s="53" t="n">
        <v>596.4</v>
      </c>
    </row>
    <row r="18" customFormat="false" ht="15" hidden="false" customHeight="false" outlineLevel="0" collapsed="false">
      <c r="A18" s="54" t="n">
        <v>14</v>
      </c>
      <c r="B18" s="55" t="n">
        <v>14</v>
      </c>
      <c r="C18" s="55" t="n">
        <v>3</v>
      </c>
      <c r="D18" s="56" t="n">
        <v>214.93</v>
      </c>
      <c r="E18" s="55" t="n">
        <v>10</v>
      </c>
      <c r="F18" s="56" t="n">
        <v>612.15</v>
      </c>
      <c r="G18" s="57" t="n">
        <v>827.08</v>
      </c>
    </row>
    <row r="19" customFormat="false" ht="15" hidden="false" customHeight="false" outlineLevel="0" collapsed="false">
      <c r="A19" s="50" t="n">
        <v>15</v>
      </c>
      <c r="B19" s="51" t="n">
        <v>16</v>
      </c>
      <c r="C19" s="51" t="n">
        <v>3</v>
      </c>
      <c r="D19" s="52" t="n">
        <v>190.66</v>
      </c>
      <c r="E19" s="51" t="n">
        <v>13</v>
      </c>
      <c r="F19" s="52" t="n">
        <v>872.34</v>
      </c>
      <c r="G19" s="53" t="n">
        <v>1063</v>
      </c>
    </row>
    <row r="20" customFormat="false" ht="15" hidden="false" customHeight="false" outlineLevel="0" collapsed="false">
      <c r="A20" s="54" t="n">
        <v>16</v>
      </c>
      <c r="B20" s="55" t="n">
        <v>14</v>
      </c>
      <c r="C20" s="55" t="n">
        <v>5</v>
      </c>
      <c r="D20" s="56" t="n">
        <v>329.9</v>
      </c>
      <c r="E20" s="55" t="n">
        <v>8</v>
      </c>
      <c r="F20" s="56" t="n">
        <v>588.88</v>
      </c>
      <c r="G20" s="57" t="n">
        <v>918.78</v>
      </c>
    </row>
    <row r="21" customFormat="false" ht="15.75" hidden="false" customHeight="true" outlineLevel="0" collapsed="false">
      <c r="A21" s="50" t="n">
        <v>17</v>
      </c>
      <c r="B21" s="51" t="n">
        <v>16</v>
      </c>
      <c r="C21" s="51" t="n">
        <v>2</v>
      </c>
      <c r="D21" s="52" t="n">
        <v>70.2</v>
      </c>
      <c r="E21" s="51" t="n">
        <v>13</v>
      </c>
      <c r="F21" s="52" t="n">
        <v>783.25</v>
      </c>
      <c r="G21" s="53" t="n">
        <v>853.45</v>
      </c>
    </row>
    <row r="22" customFormat="false" ht="15.75" hidden="false" customHeight="true" outlineLevel="0" collapsed="false">
      <c r="A22" s="54" t="n">
        <v>18</v>
      </c>
      <c r="B22" s="55" t="n">
        <v>15</v>
      </c>
      <c r="C22" s="55" t="n">
        <v>8</v>
      </c>
      <c r="D22" s="56" t="n">
        <v>531.19</v>
      </c>
      <c r="E22" s="55" t="n">
        <v>7</v>
      </c>
      <c r="F22" s="56" t="n">
        <v>483.06</v>
      </c>
      <c r="G22" s="57" t="n">
        <v>1014.25</v>
      </c>
    </row>
    <row r="23" customFormat="false" ht="15.75" hidden="false" customHeight="true" outlineLevel="0" collapsed="false">
      <c r="A23" s="50" t="n">
        <v>19</v>
      </c>
      <c r="B23" s="51" t="n">
        <v>14</v>
      </c>
      <c r="C23" s="51" t="n">
        <v>2</v>
      </c>
      <c r="D23" s="52" t="n">
        <v>105.23</v>
      </c>
      <c r="E23" s="51" t="n">
        <v>11</v>
      </c>
      <c r="F23" s="52" t="n">
        <v>531.19</v>
      </c>
      <c r="G23" s="53" t="n">
        <v>636.42</v>
      </c>
    </row>
    <row r="24" customFormat="false" ht="15.75" hidden="false" customHeight="true" outlineLevel="0" collapsed="false">
      <c r="A24" s="54" t="n">
        <v>20</v>
      </c>
      <c r="B24" s="55" t="n">
        <v>18</v>
      </c>
      <c r="C24" s="55" t="n">
        <v>6</v>
      </c>
      <c r="D24" s="56" t="n">
        <v>368.8</v>
      </c>
      <c r="E24" s="55" t="n">
        <v>12</v>
      </c>
      <c r="F24" s="56" t="n">
        <v>779.15</v>
      </c>
      <c r="G24" s="57" t="n">
        <v>1147.95</v>
      </c>
    </row>
    <row r="25" customFormat="false" ht="15.75" hidden="false" customHeight="true" outlineLevel="0" collapsed="false">
      <c r="A25" s="50" t="n">
        <v>21</v>
      </c>
      <c r="B25" s="51" t="n">
        <v>10</v>
      </c>
      <c r="C25" s="51" t="n">
        <v>0</v>
      </c>
      <c r="D25" s="52" t="n">
        <v>0</v>
      </c>
      <c r="E25" s="51" t="n">
        <v>10</v>
      </c>
      <c r="F25" s="52" t="n">
        <v>573.63</v>
      </c>
      <c r="G25" s="53" t="n">
        <v>573.63</v>
      </c>
    </row>
    <row r="26" customFormat="false" ht="15.75" hidden="false" customHeight="true" outlineLevel="0" collapsed="false">
      <c r="A26" s="54" t="n">
        <v>22</v>
      </c>
      <c r="B26" s="55" t="n">
        <v>15</v>
      </c>
      <c r="C26" s="55" t="n">
        <v>5</v>
      </c>
      <c r="D26" s="56" t="n">
        <v>291.37</v>
      </c>
      <c r="E26" s="55" t="n">
        <v>10</v>
      </c>
      <c r="F26" s="56" t="n">
        <v>743.33</v>
      </c>
      <c r="G26" s="57" t="n">
        <v>1034.7</v>
      </c>
    </row>
    <row r="27" customFormat="false" ht="15.75" hidden="false" customHeight="true" outlineLevel="0" collapsed="false">
      <c r="A27" s="50" t="n">
        <v>23</v>
      </c>
      <c r="B27" s="51" t="n">
        <v>15</v>
      </c>
      <c r="C27" s="51" t="n">
        <v>8</v>
      </c>
      <c r="D27" s="52" t="n">
        <v>418.84</v>
      </c>
      <c r="E27" s="51" t="n">
        <v>7</v>
      </c>
      <c r="F27" s="52" t="n">
        <v>415.3</v>
      </c>
      <c r="G27" s="53" t="n">
        <v>834.14</v>
      </c>
    </row>
    <row r="28" customFormat="false" ht="15.75" hidden="false" customHeight="true" outlineLevel="0" collapsed="false">
      <c r="A28" s="54" t="n">
        <v>24</v>
      </c>
      <c r="B28" s="55" t="n">
        <v>24</v>
      </c>
      <c r="C28" s="55" t="n">
        <v>10</v>
      </c>
      <c r="D28" s="56" t="n">
        <v>631.71</v>
      </c>
      <c r="E28" s="55" t="n">
        <v>14</v>
      </c>
      <c r="F28" s="56" t="n">
        <v>878.62</v>
      </c>
      <c r="G28" s="57" t="n">
        <v>1510.33</v>
      </c>
    </row>
    <row r="29" customFormat="false" ht="15.75" hidden="false" customHeight="true" outlineLevel="0" collapsed="false">
      <c r="A29" s="50" t="n">
        <v>25</v>
      </c>
      <c r="B29" s="51" t="n">
        <v>23</v>
      </c>
      <c r="C29" s="51" t="n">
        <v>5</v>
      </c>
      <c r="D29" s="52" t="n">
        <v>368.74</v>
      </c>
      <c r="E29" s="51" t="n">
        <v>18</v>
      </c>
      <c r="F29" s="52" t="n">
        <v>1028.41</v>
      </c>
      <c r="G29" s="53" t="n">
        <v>1397.15</v>
      </c>
    </row>
    <row r="30" customFormat="false" ht="15.75" hidden="false" customHeight="true" outlineLevel="0" collapsed="false">
      <c r="A30" s="54" t="n">
        <v>26</v>
      </c>
      <c r="B30" s="55" t="n">
        <v>21</v>
      </c>
      <c r="C30" s="55" t="n">
        <v>10</v>
      </c>
      <c r="D30" s="56" t="n">
        <v>619.51</v>
      </c>
      <c r="E30" s="55" t="n">
        <v>11</v>
      </c>
      <c r="F30" s="56" t="n">
        <v>719.24</v>
      </c>
      <c r="G30" s="57" t="n">
        <v>1338.75</v>
      </c>
    </row>
    <row r="31" customFormat="false" ht="15.75" hidden="false" customHeight="true" outlineLevel="0" collapsed="false">
      <c r="A31" s="50" t="n">
        <v>27</v>
      </c>
      <c r="B31" s="51" t="n">
        <v>17</v>
      </c>
      <c r="C31" s="51" t="n">
        <v>7</v>
      </c>
      <c r="D31" s="52" t="n">
        <v>364.6</v>
      </c>
      <c r="E31" s="51" t="n">
        <v>10</v>
      </c>
      <c r="F31" s="52" t="n">
        <v>570.93</v>
      </c>
      <c r="G31" s="53" t="n">
        <v>935.53</v>
      </c>
    </row>
    <row r="32" customFormat="false" ht="15.75" hidden="false" customHeight="true" outlineLevel="0" collapsed="false">
      <c r="A32" s="54" t="n">
        <v>28</v>
      </c>
      <c r="B32" s="55" t="n">
        <v>17</v>
      </c>
      <c r="C32" s="55" t="n">
        <v>9</v>
      </c>
      <c r="D32" s="56" t="n">
        <v>544.32</v>
      </c>
      <c r="E32" s="55" t="n">
        <v>8</v>
      </c>
      <c r="F32" s="56" t="n">
        <v>481.02</v>
      </c>
      <c r="G32" s="57" t="n">
        <v>1025.34</v>
      </c>
    </row>
    <row r="33" customFormat="false" ht="15.75" hidden="false" customHeight="true" outlineLevel="0" collapsed="false">
      <c r="A33" s="50" t="n">
        <v>29</v>
      </c>
      <c r="B33" s="51" t="n">
        <v>16</v>
      </c>
      <c r="C33" s="51" t="n">
        <v>5</v>
      </c>
      <c r="D33" s="52" t="n">
        <v>256.72</v>
      </c>
      <c r="E33" s="51" t="n">
        <v>11</v>
      </c>
      <c r="F33" s="52" t="n">
        <v>541.62</v>
      </c>
      <c r="G33" s="53" t="n">
        <v>798.34</v>
      </c>
    </row>
    <row r="34" customFormat="false" ht="15.75" hidden="false" customHeight="true" outlineLevel="0" collapsed="false">
      <c r="A34" s="54" t="n">
        <v>30</v>
      </c>
      <c r="B34" s="55" t="n">
        <v>18</v>
      </c>
      <c r="C34" s="55" t="n">
        <v>8</v>
      </c>
      <c r="D34" s="56" t="n">
        <v>481.39</v>
      </c>
      <c r="E34" s="55" t="n">
        <v>10</v>
      </c>
      <c r="F34" s="56" t="n">
        <v>519.33</v>
      </c>
      <c r="G34" s="57" t="n">
        <v>1000.72</v>
      </c>
    </row>
    <row r="35" customFormat="false" ht="15.75" hidden="false" customHeight="true" outlineLevel="0" collapsed="false">
      <c r="A35" s="50" t="n">
        <v>31</v>
      </c>
      <c r="B35" s="51" t="n">
        <v>19</v>
      </c>
      <c r="C35" s="51" t="n">
        <v>11</v>
      </c>
      <c r="D35" s="52" t="n">
        <v>589.96</v>
      </c>
      <c r="E35" s="51" t="n">
        <v>8</v>
      </c>
      <c r="F35" s="52" t="n">
        <v>525.25</v>
      </c>
      <c r="G35" s="53" t="n">
        <v>1115.21</v>
      </c>
    </row>
    <row r="36" customFormat="false" ht="15.75" hidden="false" customHeight="true" outlineLevel="0" collapsed="false">
      <c r="A36" s="54" t="n">
        <v>32</v>
      </c>
      <c r="B36" s="55" t="n">
        <v>11</v>
      </c>
      <c r="C36" s="55" t="n">
        <v>0</v>
      </c>
      <c r="D36" s="56" t="n">
        <v>0</v>
      </c>
      <c r="E36" s="55" t="n">
        <v>11</v>
      </c>
      <c r="F36" s="56" t="n">
        <v>742.91</v>
      </c>
      <c r="G36" s="57" t="n">
        <v>742.91</v>
      </c>
    </row>
    <row r="37" customFormat="false" ht="15.75" hidden="false" customHeight="true" outlineLevel="0" collapsed="false">
      <c r="A37" s="50" t="n">
        <v>33</v>
      </c>
      <c r="B37" s="51" t="n">
        <v>8</v>
      </c>
      <c r="C37" s="51" t="n">
        <v>4</v>
      </c>
      <c r="D37" s="52" t="n">
        <v>246.23</v>
      </c>
      <c r="E37" s="51" t="n">
        <v>4</v>
      </c>
      <c r="F37" s="52" t="n">
        <v>304.17</v>
      </c>
      <c r="G37" s="53" t="n">
        <v>550.4</v>
      </c>
    </row>
    <row r="38" customFormat="false" ht="15.75" hidden="false" customHeight="true" outlineLevel="0" collapsed="false">
      <c r="A38" s="54" t="n">
        <v>34</v>
      </c>
      <c r="B38" s="55" t="n">
        <v>14</v>
      </c>
      <c r="C38" s="55" t="n">
        <v>8</v>
      </c>
      <c r="D38" s="56" t="n">
        <v>463.87</v>
      </c>
      <c r="E38" s="55" t="n">
        <v>6</v>
      </c>
      <c r="F38" s="56" t="n">
        <v>299.15</v>
      </c>
      <c r="G38" s="57" t="n">
        <v>763.02</v>
      </c>
    </row>
    <row r="39" customFormat="false" ht="15.75" hidden="false" customHeight="true" outlineLevel="0" collapsed="false">
      <c r="A39" s="50" t="n">
        <v>35</v>
      </c>
      <c r="B39" s="51" t="n">
        <v>16</v>
      </c>
      <c r="C39" s="51" t="n">
        <v>7</v>
      </c>
      <c r="D39" s="52" t="n">
        <v>482.34</v>
      </c>
      <c r="E39" s="51" t="n">
        <v>9</v>
      </c>
      <c r="F39" s="52" t="n">
        <v>639.66</v>
      </c>
      <c r="G39" s="53" t="n">
        <v>1122</v>
      </c>
    </row>
    <row r="40" customFormat="false" ht="15.75" hidden="false" customHeight="true" outlineLevel="0" collapsed="false">
      <c r="A40" s="54" t="n">
        <v>36</v>
      </c>
      <c r="B40" s="55" t="n">
        <v>19</v>
      </c>
      <c r="C40" s="55" t="n">
        <v>8</v>
      </c>
      <c r="D40" s="56" t="n">
        <v>505.64</v>
      </c>
      <c r="E40" s="55" t="n">
        <v>11</v>
      </c>
      <c r="F40" s="56" t="n">
        <v>729.21</v>
      </c>
      <c r="G40" s="57" t="n">
        <v>1234.85</v>
      </c>
    </row>
    <row r="41" customFormat="false" ht="15.75" hidden="false" customHeight="true" outlineLevel="0" collapsed="false">
      <c r="A41" s="50" t="n">
        <v>37</v>
      </c>
      <c r="B41" s="51" t="n">
        <v>8</v>
      </c>
      <c r="C41" s="51" t="n">
        <v>2</v>
      </c>
      <c r="D41" s="52" t="n">
        <v>112.71</v>
      </c>
      <c r="E41" s="51" t="n">
        <v>6</v>
      </c>
      <c r="F41" s="52" t="n">
        <v>338.86</v>
      </c>
      <c r="G41" s="53" t="n">
        <v>451.57</v>
      </c>
    </row>
    <row r="42" customFormat="false" ht="15.75" hidden="false" customHeight="true" outlineLevel="0" collapsed="false">
      <c r="A42" s="54" t="n">
        <v>38</v>
      </c>
      <c r="B42" s="55" t="n">
        <v>19</v>
      </c>
      <c r="C42" s="55" t="n">
        <v>10</v>
      </c>
      <c r="D42" s="56" t="n">
        <v>568.76</v>
      </c>
      <c r="E42" s="55" t="n">
        <v>9</v>
      </c>
      <c r="F42" s="56" t="n">
        <v>526.25</v>
      </c>
      <c r="G42" s="57" t="n">
        <v>1095.01</v>
      </c>
    </row>
    <row r="43" customFormat="false" ht="15.75" hidden="false" customHeight="true" outlineLevel="0" collapsed="false">
      <c r="A43" s="50" t="n">
        <v>39</v>
      </c>
      <c r="B43" s="51" t="n">
        <v>9</v>
      </c>
      <c r="C43" s="51" t="n">
        <v>2</v>
      </c>
      <c r="D43" s="52" t="n">
        <v>109.09</v>
      </c>
      <c r="E43" s="51" t="n">
        <v>5</v>
      </c>
      <c r="F43" s="52" t="n">
        <v>311.79</v>
      </c>
      <c r="G43" s="53" t="n">
        <v>420.88</v>
      </c>
    </row>
    <row r="44" customFormat="false" ht="15.75" hidden="false" customHeight="true" outlineLevel="0" collapsed="false">
      <c r="A44" s="54" t="n">
        <v>40</v>
      </c>
      <c r="B44" s="55" t="n">
        <v>8</v>
      </c>
      <c r="C44" s="55" t="n">
        <v>1</v>
      </c>
      <c r="D44" s="56" t="n">
        <v>24.63</v>
      </c>
      <c r="E44" s="55" t="n">
        <v>6</v>
      </c>
      <c r="F44" s="56" t="n">
        <v>433.92</v>
      </c>
      <c r="G44" s="57" t="n">
        <v>458.55</v>
      </c>
    </row>
    <row r="45" customFormat="false" ht="15.75" hidden="false" customHeight="true" outlineLevel="0" collapsed="false">
      <c r="A45" s="50" t="n">
        <v>41</v>
      </c>
      <c r="B45" s="51" t="n">
        <v>11</v>
      </c>
      <c r="C45" s="51" t="n">
        <v>3</v>
      </c>
      <c r="D45" s="52" t="n">
        <v>162.99</v>
      </c>
      <c r="E45" s="51" t="n">
        <v>7</v>
      </c>
      <c r="F45" s="52" t="n">
        <v>547.75</v>
      </c>
      <c r="G45" s="53" t="n">
        <v>710.74</v>
      </c>
    </row>
    <row r="46" customFormat="false" ht="15.75" hidden="false" customHeight="true" outlineLevel="0" collapsed="false">
      <c r="A46" s="54" t="n">
        <v>42</v>
      </c>
      <c r="B46" s="55" t="n">
        <v>10</v>
      </c>
      <c r="C46" s="55" t="n">
        <v>3</v>
      </c>
      <c r="D46" s="56" t="n">
        <v>211.31</v>
      </c>
      <c r="E46" s="55" t="n">
        <v>7</v>
      </c>
      <c r="F46" s="56" t="n">
        <v>411.21</v>
      </c>
      <c r="G46" s="57" t="n">
        <v>622.52</v>
      </c>
    </row>
    <row r="47" customFormat="false" ht="15.75" hidden="false" customHeight="true" outlineLevel="0" collapsed="false">
      <c r="A47" s="50" t="n">
        <v>43</v>
      </c>
      <c r="B47" s="51" t="n">
        <v>10</v>
      </c>
      <c r="C47" s="51" t="n">
        <v>4</v>
      </c>
      <c r="D47" s="52" t="n">
        <v>217.9</v>
      </c>
      <c r="E47" s="51" t="n">
        <v>5</v>
      </c>
      <c r="F47" s="52" t="n">
        <v>229.98</v>
      </c>
      <c r="G47" s="53" t="n">
        <v>447.88</v>
      </c>
    </row>
    <row r="48" customFormat="false" ht="15.75" hidden="false" customHeight="true" outlineLevel="0" collapsed="false">
      <c r="A48" s="54" t="n">
        <v>44</v>
      </c>
      <c r="B48" s="55" t="n">
        <v>6</v>
      </c>
      <c r="C48" s="55" t="n">
        <v>2</v>
      </c>
      <c r="D48" s="56" t="n">
        <v>173.57</v>
      </c>
      <c r="E48" s="55" t="n">
        <v>4</v>
      </c>
      <c r="F48" s="56" t="n">
        <v>293.58</v>
      </c>
      <c r="G48" s="57" t="n">
        <v>467.15</v>
      </c>
    </row>
    <row r="49" customFormat="false" ht="15.75" hidden="false" customHeight="true" outlineLevel="0" collapsed="false">
      <c r="A49" s="50" t="n">
        <v>45</v>
      </c>
      <c r="B49" s="51" t="n">
        <v>4</v>
      </c>
      <c r="C49" s="51" t="n">
        <v>1</v>
      </c>
      <c r="D49" s="52" t="n">
        <v>44.25</v>
      </c>
      <c r="E49" s="51" t="n">
        <v>2</v>
      </c>
      <c r="F49" s="52" t="n">
        <v>132.71</v>
      </c>
      <c r="G49" s="53" t="n">
        <v>176.96</v>
      </c>
    </row>
    <row r="50" customFormat="false" ht="15.75" hidden="false" customHeight="true" outlineLevel="0" collapsed="false">
      <c r="A50" s="54" t="n">
        <v>46</v>
      </c>
      <c r="B50" s="55" t="n">
        <v>7</v>
      </c>
      <c r="C50" s="55" t="n">
        <v>2</v>
      </c>
      <c r="D50" s="56" t="n">
        <v>142.08</v>
      </c>
      <c r="E50" s="55" t="n">
        <v>5</v>
      </c>
      <c r="F50" s="56" t="n">
        <v>386.6</v>
      </c>
      <c r="G50" s="57" t="n">
        <v>528.68</v>
      </c>
    </row>
    <row r="51" customFormat="false" ht="15.75" hidden="false" customHeight="true" outlineLevel="0" collapsed="false">
      <c r="A51" s="50" t="n">
        <v>47</v>
      </c>
      <c r="B51" s="51" t="n">
        <v>7</v>
      </c>
      <c r="C51" s="51" t="n">
        <v>5</v>
      </c>
      <c r="D51" s="52" t="n">
        <v>284.72</v>
      </c>
      <c r="E51" s="51" t="n">
        <v>2</v>
      </c>
      <c r="F51" s="52" t="n">
        <v>95</v>
      </c>
      <c r="G51" s="53" t="n">
        <v>379.72</v>
      </c>
    </row>
    <row r="52" customFormat="false" ht="15.75" hidden="false" customHeight="true" outlineLevel="0" collapsed="false">
      <c r="A52" s="54" t="n">
        <v>48</v>
      </c>
      <c r="B52" s="55" t="n">
        <v>9</v>
      </c>
      <c r="C52" s="55" t="n">
        <v>2</v>
      </c>
      <c r="D52" s="56" t="n">
        <v>142.59</v>
      </c>
      <c r="E52" s="55" t="n">
        <v>7</v>
      </c>
      <c r="F52" s="56" t="n">
        <v>352.4</v>
      </c>
      <c r="G52" s="57" t="n">
        <v>494.99</v>
      </c>
    </row>
    <row r="53" customFormat="false" ht="15.75" hidden="false" customHeight="true" outlineLevel="0" collapsed="false">
      <c r="A53" s="50" t="n">
        <v>49</v>
      </c>
      <c r="B53" s="51" t="n">
        <v>5</v>
      </c>
      <c r="C53" s="51" t="n">
        <v>1</v>
      </c>
      <c r="D53" s="52" t="n">
        <v>59.39</v>
      </c>
      <c r="E53" s="51" t="n">
        <v>4</v>
      </c>
      <c r="F53" s="52" t="n">
        <v>207.24</v>
      </c>
      <c r="G53" s="53" t="n">
        <v>266.63</v>
      </c>
    </row>
    <row r="54" customFormat="false" ht="15.75" hidden="false" customHeight="true" outlineLevel="0" collapsed="false">
      <c r="A54" s="54" t="n">
        <v>50</v>
      </c>
      <c r="B54" s="55" t="n">
        <v>5</v>
      </c>
      <c r="C54" s="55" t="n">
        <v>0</v>
      </c>
      <c r="D54" s="56" t="n">
        <v>0</v>
      </c>
      <c r="E54" s="55" t="n">
        <v>5</v>
      </c>
      <c r="F54" s="56" t="n">
        <v>254.44</v>
      </c>
      <c r="G54" s="57" t="n">
        <v>254.44</v>
      </c>
    </row>
    <row r="55" customFormat="false" ht="15.75" hidden="false" customHeight="true" outlineLevel="0" collapsed="false">
      <c r="A55" s="50" t="n">
        <v>51</v>
      </c>
      <c r="B55" s="51" t="n">
        <v>8</v>
      </c>
      <c r="C55" s="51" t="n">
        <v>2</v>
      </c>
      <c r="D55" s="52" t="n">
        <v>119.58</v>
      </c>
      <c r="E55" s="51" t="n">
        <v>6</v>
      </c>
      <c r="F55" s="52" t="n">
        <v>392.12</v>
      </c>
      <c r="G55" s="53" t="n">
        <v>511.7</v>
      </c>
    </row>
    <row r="56" customFormat="false" ht="15.75" hidden="false" customHeight="true" outlineLevel="0" collapsed="false">
      <c r="A56" s="54" t="n">
        <v>52</v>
      </c>
      <c r="B56" s="55" t="n">
        <v>4</v>
      </c>
      <c r="C56" s="55" t="n">
        <v>0</v>
      </c>
      <c r="D56" s="56" t="n">
        <v>0</v>
      </c>
      <c r="E56" s="55" t="n">
        <v>3</v>
      </c>
      <c r="F56" s="56" t="n">
        <v>112.92</v>
      </c>
      <c r="G56" s="57" t="n">
        <v>112.92</v>
      </c>
    </row>
    <row r="57" customFormat="false" ht="15.75" hidden="false" customHeight="true" outlineLevel="0" collapsed="false">
      <c r="A57" s="50" t="n">
        <v>53</v>
      </c>
      <c r="B57" s="51" t="n">
        <v>2</v>
      </c>
      <c r="C57" s="51" t="n">
        <v>0</v>
      </c>
      <c r="D57" s="52" t="n">
        <v>0</v>
      </c>
      <c r="E57" s="51" t="n">
        <v>1</v>
      </c>
      <c r="F57" s="52" t="n">
        <v>99.96</v>
      </c>
      <c r="G57" s="53" t="n">
        <v>99.96</v>
      </c>
    </row>
    <row r="58" customFormat="false" ht="15.75" hidden="false" customHeight="true" outlineLevel="0" collapsed="false">
      <c r="A58" s="54" t="n">
        <v>54</v>
      </c>
      <c r="B58" s="55" t="n">
        <v>3</v>
      </c>
      <c r="C58" s="55" t="n">
        <v>2</v>
      </c>
      <c r="D58" s="56" t="n">
        <v>85.91</v>
      </c>
      <c r="E58" s="55" t="n">
        <v>1</v>
      </c>
      <c r="F58" s="56" t="n">
        <v>67.07</v>
      </c>
      <c r="G58" s="57" t="n">
        <v>152.98</v>
      </c>
    </row>
    <row r="59" customFormat="false" ht="15.75" hidden="false" customHeight="true" outlineLevel="0" collapsed="false">
      <c r="A59" s="50" t="n">
        <v>55</v>
      </c>
      <c r="B59" s="51" t="n">
        <v>1</v>
      </c>
      <c r="C59" s="51" t="n">
        <v>0</v>
      </c>
      <c r="D59" s="52" t="n">
        <v>0</v>
      </c>
      <c r="E59" s="51" t="n">
        <v>1</v>
      </c>
      <c r="F59" s="52" t="n">
        <v>72.78</v>
      </c>
      <c r="G59" s="53" t="n">
        <v>72.78</v>
      </c>
    </row>
    <row r="60" customFormat="false" ht="15.75" hidden="false" customHeight="true" outlineLevel="0" collapsed="false">
      <c r="A60" s="54" t="n">
        <v>56</v>
      </c>
      <c r="B60" s="55" t="n">
        <v>1</v>
      </c>
      <c r="C60" s="55" t="n">
        <v>0</v>
      </c>
      <c r="D60" s="56" t="n">
        <v>0</v>
      </c>
      <c r="E60" s="55" t="n">
        <v>1</v>
      </c>
      <c r="F60" s="56" t="n">
        <v>67.02</v>
      </c>
      <c r="G60" s="57" t="n">
        <v>67.02</v>
      </c>
    </row>
    <row r="61" customFormat="false" ht="15.75" hidden="false" customHeight="true" outlineLevel="0" collapsed="false">
      <c r="A61" s="50" t="n">
        <v>57</v>
      </c>
      <c r="B61" s="51" t="n">
        <v>4</v>
      </c>
      <c r="C61" s="51" t="n">
        <v>0</v>
      </c>
      <c r="D61" s="52" t="n">
        <v>0</v>
      </c>
      <c r="E61" s="51" t="n">
        <v>4</v>
      </c>
      <c r="F61" s="52" t="n">
        <v>196.31</v>
      </c>
      <c r="G61" s="53" t="n">
        <v>196.31</v>
      </c>
    </row>
    <row r="62" customFormat="false" ht="15.75" hidden="false" customHeight="true" outlineLevel="0" collapsed="false">
      <c r="A62" s="54" t="n">
        <v>58</v>
      </c>
      <c r="B62" s="55" t="n">
        <v>1</v>
      </c>
      <c r="C62" s="55" t="n">
        <v>0</v>
      </c>
      <c r="D62" s="56" t="n">
        <v>0</v>
      </c>
      <c r="E62" s="55" t="n">
        <v>0</v>
      </c>
      <c r="F62" s="56" t="n">
        <v>0</v>
      </c>
      <c r="G62" s="57" t="n">
        <v>0</v>
      </c>
    </row>
    <row r="63" customFormat="false" ht="15.75" hidden="false" customHeight="true" outlineLevel="0" collapsed="false">
      <c r="A63" s="50" t="n">
        <v>59</v>
      </c>
      <c r="B63" s="51" t="n">
        <v>1</v>
      </c>
      <c r="C63" s="51" t="n">
        <v>1</v>
      </c>
      <c r="D63" s="52" t="n">
        <v>42.33</v>
      </c>
      <c r="E63" s="51" t="n">
        <v>0</v>
      </c>
      <c r="F63" s="52" t="n">
        <v>0</v>
      </c>
      <c r="G63" s="53" t="n">
        <v>42.33</v>
      </c>
    </row>
    <row r="64" customFormat="false" ht="15.75" hidden="false" customHeight="true" outlineLevel="0" collapsed="false">
      <c r="A64" s="54" t="n">
        <v>60</v>
      </c>
      <c r="B64" s="55" t="n">
        <v>1</v>
      </c>
      <c r="C64" s="55" t="n">
        <v>1</v>
      </c>
      <c r="D64" s="56" t="n">
        <v>46.24</v>
      </c>
      <c r="E64" s="55" t="n">
        <v>0</v>
      </c>
      <c r="F64" s="56" t="n">
        <v>0</v>
      </c>
      <c r="G64" s="57" t="n">
        <v>46.24</v>
      </c>
    </row>
    <row r="65" customFormat="false" ht="15.75" hidden="false" customHeight="true" outlineLevel="0" collapsed="false">
      <c r="A65" s="50" t="n">
        <v>61</v>
      </c>
      <c r="B65" s="51" t="n">
        <v>0</v>
      </c>
      <c r="C65" s="51" t="n">
        <v>0</v>
      </c>
      <c r="D65" s="52" t="n">
        <v>0</v>
      </c>
      <c r="E65" s="51" t="n">
        <v>0</v>
      </c>
      <c r="F65" s="52" t="n">
        <v>0</v>
      </c>
      <c r="G65" s="53" t="n">
        <v>0</v>
      </c>
    </row>
    <row r="66" customFormat="false" ht="15.75" hidden="false" customHeight="true" outlineLevel="0" collapsed="false">
      <c r="A66" s="54" t="n">
        <v>62</v>
      </c>
      <c r="B66" s="55" t="n">
        <v>1</v>
      </c>
      <c r="C66" s="55" t="n">
        <v>0</v>
      </c>
      <c r="D66" s="56" t="n">
        <v>0</v>
      </c>
      <c r="E66" s="55" t="n">
        <v>0</v>
      </c>
      <c r="F66" s="56" t="n">
        <v>0</v>
      </c>
      <c r="G66" s="57" t="n">
        <v>0</v>
      </c>
    </row>
    <row r="67" customFormat="false" ht="15.75" hidden="false" customHeight="true" outlineLevel="0" collapsed="false">
      <c r="A67" s="50" t="n">
        <v>63</v>
      </c>
      <c r="B67" s="51" t="n">
        <v>1</v>
      </c>
      <c r="C67" s="51" t="n">
        <v>1</v>
      </c>
      <c r="D67" s="52" t="n">
        <v>39.17</v>
      </c>
      <c r="E67" s="51" t="n">
        <v>0</v>
      </c>
      <c r="F67" s="52" t="n">
        <v>0</v>
      </c>
      <c r="G67" s="53" t="n">
        <v>39.17</v>
      </c>
    </row>
    <row r="68" customFormat="false" ht="15.75" hidden="false" customHeight="true" outlineLevel="0" collapsed="false">
      <c r="A68" s="54" t="n">
        <v>64</v>
      </c>
      <c r="B68" s="55" t="n">
        <v>1</v>
      </c>
      <c r="C68" s="55" t="n">
        <v>0</v>
      </c>
      <c r="D68" s="56" t="n">
        <v>0</v>
      </c>
      <c r="E68" s="55" t="n">
        <v>1</v>
      </c>
      <c r="F68" s="56" t="n">
        <v>89.18</v>
      </c>
      <c r="G68" s="57" t="n">
        <v>89.18</v>
      </c>
    </row>
    <row r="69" customFormat="false" ht="15.75" hidden="false" customHeight="true" outlineLevel="0" collapsed="false">
      <c r="A69" s="50" t="n">
        <v>65</v>
      </c>
      <c r="B69" s="51" t="n">
        <v>0</v>
      </c>
      <c r="C69" s="51" t="n">
        <v>0</v>
      </c>
      <c r="D69" s="52" t="n">
        <v>0</v>
      </c>
      <c r="E69" s="51" t="n">
        <v>0</v>
      </c>
      <c r="F69" s="52" t="n">
        <v>0</v>
      </c>
      <c r="G69" s="53" t="n">
        <v>0</v>
      </c>
    </row>
    <row r="70" customFormat="false" ht="15.75" hidden="false" customHeight="true" outlineLevel="0" collapsed="false">
      <c r="A70" s="54" t="n">
        <v>66</v>
      </c>
      <c r="B70" s="55" t="n">
        <v>0</v>
      </c>
      <c r="C70" s="55" t="n">
        <v>0</v>
      </c>
      <c r="D70" s="56" t="n">
        <v>0</v>
      </c>
      <c r="E70" s="55" t="n">
        <v>0</v>
      </c>
      <c r="F70" s="56" t="n">
        <v>0</v>
      </c>
      <c r="G70" s="57" t="n">
        <v>0</v>
      </c>
    </row>
    <row r="71" customFormat="false" ht="15.75" hidden="false" customHeight="true" outlineLevel="0" collapsed="false">
      <c r="A71" s="50" t="n">
        <v>67</v>
      </c>
      <c r="B71" s="51" t="n">
        <v>2</v>
      </c>
      <c r="C71" s="51" t="n">
        <v>2</v>
      </c>
      <c r="D71" s="52" t="n">
        <v>108.39</v>
      </c>
      <c r="E71" s="51" t="n">
        <v>0</v>
      </c>
      <c r="F71" s="52" t="n">
        <v>0</v>
      </c>
      <c r="G71" s="53" t="n">
        <v>108.39</v>
      </c>
    </row>
    <row r="72" customFormat="false" ht="15.75" hidden="false" customHeight="true" outlineLevel="0" collapsed="false">
      <c r="A72" s="54" t="n">
        <v>68</v>
      </c>
      <c r="B72" s="55" t="n">
        <v>1</v>
      </c>
      <c r="C72" s="55" t="n">
        <v>0</v>
      </c>
      <c r="D72" s="56" t="n">
        <v>0</v>
      </c>
      <c r="E72" s="55" t="n">
        <v>1</v>
      </c>
      <c r="F72" s="56" t="n">
        <v>23.31</v>
      </c>
      <c r="G72" s="57" t="n">
        <v>23.31</v>
      </c>
    </row>
    <row r="73" customFormat="false" ht="15.75" hidden="false" customHeight="true" outlineLevel="0" collapsed="false">
      <c r="A73" s="50" t="n">
        <v>69</v>
      </c>
      <c r="B73" s="51" t="n">
        <v>0</v>
      </c>
      <c r="C73" s="51" t="n">
        <v>0</v>
      </c>
      <c r="D73" s="52" t="n">
        <v>0</v>
      </c>
      <c r="E73" s="51" t="n">
        <v>0</v>
      </c>
      <c r="F73" s="52" t="n">
        <v>0</v>
      </c>
      <c r="G73" s="53" t="n">
        <v>0</v>
      </c>
    </row>
    <row r="74" customFormat="false" ht="15.75" hidden="false" customHeight="true" outlineLevel="0" collapsed="false">
      <c r="A74" s="54" t="n">
        <v>70</v>
      </c>
      <c r="B74" s="55" t="n">
        <v>0</v>
      </c>
      <c r="C74" s="55" t="n">
        <v>0</v>
      </c>
      <c r="D74" s="56" t="n">
        <v>0</v>
      </c>
      <c r="E74" s="55" t="n">
        <v>0</v>
      </c>
      <c r="F74" s="56" t="n">
        <v>0</v>
      </c>
      <c r="G74" s="57" t="n">
        <v>0</v>
      </c>
    </row>
    <row r="75" customFormat="false" ht="15.75" hidden="false" customHeight="true" outlineLevel="0" collapsed="false">
      <c r="A75" s="50" t="n">
        <v>71</v>
      </c>
      <c r="B75" s="51" t="n">
        <v>0</v>
      </c>
      <c r="C75" s="51" t="n">
        <v>0</v>
      </c>
      <c r="D75" s="52" t="n">
        <v>0</v>
      </c>
      <c r="E75" s="51" t="n">
        <v>0</v>
      </c>
      <c r="F75" s="52" t="n">
        <v>0</v>
      </c>
      <c r="G75" s="53" t="n">
        <v>0</v>
      </c>
    </row>
    <row r="76" customFormat="false" ht="15.75" hidden="false" customHeight="true" outlineLevel="0" collapsed="false">
      <c r="A76" s="54" t="n">
        <v>72</v>
      </c>
      <c r="B76" s="55" t="n">
        <v>0</v>
      </c>
      <c r="C76" s="55" t="n">
        <v>0</v>
      </c>
      <c r="D76" s="56" t="n">
        <v>0</v>
      </c>
      <c r="E76" s="55" t="n">
        <v>0</v>
      </c>
      <c r="F76" s="56" t="n">
        <v>0</v>
      </c>
      <c r="G76" s="57" t="n">
        <v>0</v>
      </c>
    </row>
    <row r="77" customFormat="false" ht="15.75" hidden="false" customHeight="true" outlineLevel="0" collapsed="false">
      <c r="A77" s="50" t="n">
        <v>73</v>
      </c>
      <c r="B77" s="51" t="n">
        <v>0</v>
      </c>
      <c r="C77" s="51" t="n">
        <v>0</v>
      </c>
      <c r="D77" s="52" t="n">
        <v>0</v>
      </c>
      <c r="E77" s="51" t="n">
        <v>0</v>
      </c>
      <c r="F77" s="52" t="n">
        <v>0</v>
      </c>
      <c r="G77" s="53" t="n">
        <v>0</v>
      </c>
    </row>
    <row r="78" customFormat="false" ht="15.75" hidden="false" customHeight="true" outlineLevel="0" collapsed="false">
      <c r="A78" s="58" t="n">
        <v>74</v>
      </c>
      <c r="B78" s="59" t="n">
        <v>1</v>
      </c>
      <c r="C78" s="59" t="n">
        <v>0</v>
      </c>
      <c r="D78" s="60" t="n">
        <v>0</v>
      </c>
      <c r="E78" s="59" t="n">
        <v>1</v>
      </c>
      <c r="F78" s="60" t="n">
        <v>55.63</v>
      </c>
      <c r="G78" s="61" t="n">
        <v>55.63</v>
      </c>
    </row>
    <row r="79" customFormat="false" ht="15.75" hidden="false" customHeight="true" outlineLevel="0" collapsed="false">
      <c r="A79" s="43"/>
      <c r="B79" s="44"/>
      <c r="C79" s="44"/>
      <c r="D79" s="44"/>
      <c r="E79" s="44"/>
      <c r="F79" s="44"/>
      <c r="G79" s="44"/>
    </row>
    <row r="80" customFormat="false" ht="15.75" hidden="false" customHeight="true" outlineLevel="0" collapsed="false">
      <c r="A80" s="43"/>
      <c r="B80" s="44"/>
      <c r="C80" s="44"/>
      <c r="D80" s="44"/>
      <c r="E80" s="44"/>
      <c r="F80" s="44"/>
      <c r="G80" s="44"/>
    </row>
    <row r="81" customFormat="false" ht="15.75" hidden="false" customHeight="true" outlineLevel="0" collapsed="false">
      <c r="A81" s="43"/>
      <c r="B81" s="44"/>
      <c r="C81" s="44"/>
      <c r="D81" s="44"/>
      <c r="E81" s="44"/>
      <c r="F81" s="44"/>
      <c r="G81" s="44"/>
    </row>
    <row r="82" customFormat="false" ht="15.75" hidden="false" customHeight="true" outlineLevel="0" collapsed="false">
      <c r="A82" s="43"/>
      <c r="B82" s="44"/>
      <c r="C82" s="44"/>
      <c r="D82" s="44"/>
      <c r="E82" s="44"/>
      <c r="F82" s="44"/>
      <c r="G82" s="44"/>
    </row>
    <row r="83" customFormat="false" ht="15.75" hidden="false" customHeight="true" outlineLevel="0" collapsed="false">
      <c r="A83" s="43"/>
      <c r="B83" s="44"/>
      <c r="C83" s="44"/>
      <c r="D83" s="44"/>
      <c r="E83" s="44"/>
      <c r="F83" s="44"/>
      <c r="G83" s="44"/>
    </row>
    <row r="84" customFormat="false" ht="15.75" hidden="false" customHeight="true" outlineLevel="0" collapsed="false">
      <c r="A84" s="43"/>
      <c r="B84" s="44"/>
      <c r="C84" s="44"/>
      <c r="D84" s="44"/>
      <c r="E84" s="44"/>
      <c r="F84" s="44"/>
      <c r="G84" s="44"/>
    </row>
    <row r="85" customFormat="false" ht="15.75" hidden="false" customHeight="true" outlineLevel="0" collapsed="false">
      <c r="A85" s="43"/>
      <c r="B85" s="44"/>
      <c r="C85" s="44"/>
      <c r="D85" s="44"/>
      <c r="E85" s="44"/>
      <c r="F85" s="44"/>
      <c r="G85" s="44"/>
    </row>
    <row r="86" customFormat="false" ht="15.75" hidden="false" customHeight="true" outlineLevel="0" collapsed="false">
      <c r="A86" s="43"/>
      <c r="B86" s="44"/>
      <c r="C86" s="44"/>
      <c r="D86" s="44"/>
      <c r="E86" s="44"/>
      <c r="F86" s="44"/>
      <c r="G86" s="44"/>
    </row>
    <row r="87" customFormat="false" ht="15.75" hidden="false" customHeight="true" outlineLevel="0" collapsed="false">
      <c r="A87" s="43"/>
      <c r="B87" s="44"/>
      <c r="C87" s="44"/>
      <c r="D87" s="44"/>
      <c r="E87" s="44"/>
      <c r="F87" s="44"/>
      <c r="G87" s="44"/>
    </row>
    <row r="88" customFormat="false" ht="15.75" hidden="false" customHeight="true" outlineLevel="0" collapsed="false">
      <c r="A88" s="43"/>
      <c r="B88" s="44"/>
      <c r="C88" s="44"/>
      <c r="D88" s="44"/>
      <c r="E88" s="44"/>
      <c r="F88" s="44"/>
      <c r="G88" s="44"/>
    </row>
    <row r="89" customFormat="false" ht="15.75" hidden="false" customHeight="true" outlineLevel="0" collapsed="false">
      <c r="A89" s="43"/>
      <c r="B89" s="44"/>
      <c r="C89" s="44"/>
      <c r="D89" s="44"/>
      <c r="E89" s="44"/>
      <c r="F89" s="44"/>
      <c r="G89" s="44"/>
    </row>
    <row r="90" customFormat="false" ht="15.75" hidden="false" customHeight="true" outlineLevel="0" collapsed="false">
      <c r="A90" s="43"/>
      <c r="B90" s="44"/>
      <c r="C90" s="44"/>
      <c r="D90" s="44"/>
      <c r="E90" s="44"/>
      <c r="F90" s="44"/>
      <c r="G90" s="44"/>
    </row>
    <row r="91" customFormat="false" ht="15.75" hidden="false" customHeight="true" outlineLevel="0" collapsed="false">
      <c r="A91" s="43"/>
      <c r="B91" s="44"/>
      <c r="C91" s="44"/>
      <c r="D91" s="44"/>
      <c r="E91" s="44"/>
      <c r="F91" s="44"/>
      <c r="G91" s="44"/>
    </row>
    <row r="92" customFormat="false" ht="15.75" hidden="false" customHeight="true" outlineLevel="0" collapsed="false">
      <c r="A92" s="43"/>
      <c r="B92" s="44"/>
      <c r="C92" s="44"/>
      <c r="D92" s="44"/>
      <c r="E92" s="44"/>
      <c r="F92" s="44"/>
      <c r="G92" s="44"/>
    </row>
    <row r="93" customFormat="false" ht="15.75" hidden="false" customHeight="true" outlineLevel="0" collapsed="false">
      <c r="A93" s="43"/>
      <c r="B93" s="44"/>
      <c r="C93" s="44"/>
      <c r="D93" s="44"/>
      <c r="E93" s="44"/>
      <c r="F93" s="44"/>
      <c r="G93" s="44"/>
    </row>
    <row r="94" customFormat="false" ht="15.75" hidden="false" customHeight="true" outlineLevel="0" collapsed="false">
      <c r="A94" s="43"/>
      <c r="B94" s="44"/>
      <c r="C94" s="44"/>
      <c r="D94" s="44"/>
      <c r="E94" s="44"/>
      <c r="F94" s="44"/>
      <c r="G94" s="44"/>
    </row>
    <row r="95" customFormat="false" ht="15.75" hidden="false" customHeight="true" outlineLevel="0" collapsed="false">
      <c r="A95" s="43"/>
      <c r="B95" s="44"/>
      <c r="C95" s="44"/>
      <c r="D95" s="44"/>
      <c r="E95" s="44"/>
      <c r="F95" s="44"/>
      <c r="G95" s="44"/>
    </row>
    <row r="96" customFormat="false" ht="15.75" hidden="false" customHeight="true" outlineLevel="0" collapsed="false">
      <c r="A96" s="43"/>
      <c r="B96" s="44"/>
      <c r="C96" s="44"/>
      <c r="D96" s="44"/>
      <c r="E96" s="44"/>
      <c r="F96" s="44"/>
      <c r="G96" s="44"/>
    </row>
    <row r="97" customFormat="false" ht="15.75" hidden="false" customHeight="true" outlineLevel="0" collapsed="false">
      <c r="A97" s="43"/>
      <c r="B97" s="44"/>
      <c r="C97" s="44"/>
      <c r="D97" s="44"/>
      <c r="E97" s="44"/>
      <c r="F97" s="44"/>
      <c r="G97" s="44"/>
    </row>
    <row r="98" customFormat="false" ht="15.75" hidden="false" customHeight="true" outlineLevel="0" collapsed="false">
      <c r="A98" s="43"/>
      <c r="B98" s="44"/>
      <c r="C98" s="44"/>
      <c r="D98" s="44"/>
      <c r="E98" s="44"/>
      <c r="F98" s="44"/>
      <c r="G98" s="44"/>
    </row>
    <row r="99" customFormat="false" ht="15.75" hidden="false" customHeight="true" outlineLevel="0" collapsed="false">
      <c r="A99" s="43"/>
      <c r="B99" s="44"/>
      <c r="C99" s="44"/>
      <c r="D99" s="44"/>
      <c r="E99" s="44"/>
      <c r="F99" s="44"/>
      <c r="G99" s="44"/>
    </row>
    <row r="100" customFormat="false" ht="15.75" hidden="false" customHeight="true" outlineLevel="0" collapsed="false">
      <c r="A100" s="43"/>
      <c r="B100" s="44"/>
      <c r="C100" s="44"/>
      <c r="D100" s="44"/>
      <c r="E100" s="44"/>
      <c r="F100" s="44"/>
      <c r="G100" s="44"/>
    </row>
    <row r="101" customFormat="false" ht="15.75" hidden="false" customHeight="true" outlineLevel="0" collapsed="false">
      <c r="A101" s="43"/>
      <c r="B101" s="44"/>
      <c r="C101" s="44"/>
      <c r="D101" s="44"/>
      <c r="E101" s="44"/>
      <c r="F101" s="44"/>
      <c r="G101" s="44"/>
    </row>
    <row r="102" customFormat="false" ht="15.75" hidden="false" customHeight="true" outlineLevel="0" collapsed="false">
      <c r="A102" s="43"/>
      <c r="B102" s="44"/>
      <c r="C102" s="44"/>
      <c r="D102" s="44"/>
      <c r="E102" s="44"/>
      <c r="F102" s="44"/>
      <c r="G102" s="44"/>
    </row>
    <row r="103" customFormat="false" ht="15.75" hidden="false" customHeight="true" outlineLevel="0" collapsed="false">
      <c r="A103" s="43"/>
      <c r="B103" s="44"/>
      <c r="C103" s="44"/>
      <c r="D103" s="44"/>
      <c r="E103" s="44"/>
      <c r="F103" s="44"/>
      <c r="G103" s="44"/>
    </row>
    <row r="104" customFormat="false" ht="15.75" hidden="false" customHeight="true" outlineLevel="0" collapsed="false">
      <c r="A104" s="43"/>
      <c r="B104" s="44"/>
      <c r="C104" s="44"/>
      <c r="D104" s="44"/>
      <c r="E104" s="44"/>
      <c r="F104" s="44"/>
      <c r="G104" s="44"/>
    </row>
    <row r="105" customFormat="false" ht="15.75" hidden="false" customHeight="true" outlineLevel="0" collapsed="false">
      <c r="A105" s="43"/>
      <c r="B105" s="44"/>
      <c r="C105" s="44"/>
      <c r="D105" s="44"/>
      <c r="E105" s="44"/>
      <c r="F105" s="44"/>
      <c r="G105" s="44"/>
    </row>
    <row r="106" customFormat="false" ht="15.75" hidden="false" customHeight="true" outlineLevel="0" collapsed="false">
      <c r="A106" s="43"/>
      <c r="B106" s="44"/>
      <c r="C106" s="44"/>
      <c r="D106" s="44"/>
      <c r="E106" s="44"/>
      <c r="F106" s="44"/>
      <c r="G106" s="44"/>
    </row>
    <row r="107" customFormat="false" ht="15.75" hidden="false" customHeight="true" outlineLevel="0" collapsed="false">
      <c r="A107" s="43"/>
      <c r="B107" s="44"/>
      <c r="C107" s="44"/>
      <c r="D107" s="44"/>
      <c r="E107" s="44"/>
      <c r="F107" s="44"/>
      <c r="G107" s="44"/>
    </row>
    <row r="108" customFormat="false" ht="15.75" hidden="false" customHeight="true" outlineLevel="0" collapsed="false">
      <c r="A108" s="43"/>
      <c r="B108" s="44"/>
      <c r="C108" s="44"/>
      <c r="D108" s="44"/>
      <c r="E108" s="44"/>
      <c r="F108" s="44"/>
      <c r="G108" s="44"/>
    </row>
    <row r="109" customFormat="false" ht="15.75" hidden="false" customHeight="true" outlineLevel="0" collapsed="false">
      <c r="A109" s="43"/>
      <c r="B109" s="44"/>
      <c r="C109" s="44"/>
      <c r="D109" s="44"/>
      <c r="E109" s="44"/>
      <c r="F109" s="44"/>
      <c r="G109" s="44"/>
    </row>
    <row r="110" customFormat="false" ht="15.75" hidden="false" customHeight="true" outlineLevel="0" collapsed="false">
      <c r="A110" s="43"/>
      <c r="B110" s="44"/>
      <c r="C110" s="44"/>
      <c r="D110" s="44"/>
      <c r="E110" s="44"/>
      <c r="F110" s="44"/>
      <c r="G110" s="44"/>
    </row>
    <row r="111" customFormat="false" ht="15.75" hidden="false" customHeight="true" outlineLevel="0" collapsed="false">
      <c r="A111" s="43"/>
      <c r="B111" s="44"/>
      <c r="C111" s="44"/>
      <c r="D111" s="44"/>
      <c r="E111" s="44"/>
      <c r="F111" s="44"/>
      <c r="G111" s="44"/>
    </row>
    <row r="112" customFormat="false" ht="15.75" hidden="false" customHeight="true" outlineLevel="0" collapsed="false">
      <c r="A112" s="43"/>
      <c r="B112" s="44"/>
      <c r="C112" s="44"/>
      <c r="D112" s="44"/>
      <c r="E112" s="44"/>
      <c r="F112" s="44"/>
      <c r="G112" s="44"/>
    </row>
    <row r="113" customFormat="false" ht="15.75" hidden="false" customHeight="true" outlineLevel="0" collapsed="false">
      <c r="A113" s="43"/>
      <c r="B113" s="44"/>
      <c r="C113" s="44"/>
      <c r="D113" s="44"/>
      <c r="E113" s="44"/>
      <c r="F113" s="44"/>
      <c r="G113" s="44"/>
    </row>
    <row r="114" customFormat="false" ht="15.75" hidden="false" customHeight="true" outlineLevel="0" collapsed="false">
      <c r="A114" s="43"/>
      <c r="B114" s="44"/>
      <c r="C114" s="44"/>
      <c r="D114" s="44"/>
      <c r="E114" s="44"/>
      <c r="F114" s="44"/>
      <c r="G114" s="44"/>
    </row>
    <row r="115" customFormat="false" ht="15.75" hidden="false" customHeight="true" outlineLevel="0" collapsed="false">
      <c r="A115" s="43"/>
      <c r="B115" s="44"/>
      <c r="C115" s="44"/>
      <c r="D115" s="44"/>
      <c r="E115" s="44"/>
      <c r="F115" s="44"/>
      <c r="G115" s="44"/>
    </row>
    <row r="116" customFormat="false" ht="15.75" hidden="false" customHeight="true" outlineLevel="0" collapsed="false">
      <c r="A116" s="43"/>
      <c r="B116" s="44"/>
      <c r="C116" s="44"/>
      <c r="D116" s="44"/>
      <c r="E116" s="44"/>
      <c r="F116" s="44"/>
      <c r="G116" s="44"/>
    </row>
    <row r="117" customFormat="false" ht="15.75" hidden="false" customHeight="true" outlineLevel="0" collapsed="false">
      <c r="A117" s="43"/>
      <c r="B117" s="44"/>
      <c r="C117" s="44"/>
      <c r="D117" s="44"/>
      <c r="E117" s="44"/>
      <c r="F117" s="44"/>
      <c r="G117" s="44"/>
    </row>
    <row r="118" customFormat="false" ht="15.75" hidden="false" customHeight="true" outlineLevel="0" collapsed="false">
      <c r="A118" s="43"/>
      <c r="B118" s="44"/>
      <c r="C118" s="44"/>
      <c r="D118" s="44"/>
      <c r="E118" s="44"/>
      <c r="F118" s="44"/>
      <c r="G118" s="44"/>
    </row>
    <row r="119" customFormat="false" ht="15.75" hidden="false" customHeight="true" outlineLevel="0" collapsed="false">
      <c r="A119" s="43"/>
      <c r="B119" s="44"/>
      <c r="C119" s="44"/>
      <c r="D119" s="44"/>
      <c r="E119" s="44"/>
      <c r="F119" s="44"/>
      <c r="G119" s="44"/>
    </row>
    <row r="120" customFormat="false" ht="15.75" hidden="false" customHeight="true" outlineLevel="0" collapsed="false">
      <c r="A120" s="43"/>
      <c r="B120" s="44"/>
      <c r="C120" s="44"/>
      <c r="D120" s="44"/>
      <c r="E120" s="44"/>
      <c r="F120" s="44"/>
      <c r="G120" s="44"/>
    </row>
    <row r="121" customFormat="false" ht="15.75" hidden="false" customHeight="true" outlineLevel="0" collapsed="false">
      <c r="A121" s="43"/>
      <c r="B121" s="44"/>
      <c r="C121" s="44"/>
      <c r="D121" s="44"/>
      <c r="E121" s="44"/>
      <c r="F121" s="44"/>
      <c r="G121" s="44"/>
    </row>
    <row r="122" customFormat="false" ht="15.75" hidden="false" customHeight="true" outlineLevel="0" collapsed="false">
      <c r="A122" s="43"/>
      <c r="B122" s="44"/>
      <c r="C122" s="44"/>
      <c r="D122" s="44"/>
      <c r="E122" s="44"/>
      <c r="F122" s="44"/>
      <c r="G122" s="44"/>
    </row>
    <row r="123" customFormat="false" ht="15.75" hidden="false" customHeight="true" outlineLevel="0" collapsed="false">
      <c r="A123" s="43"/>
      <c r="B123" s="44"/>
      <c r="C123" s="44"/>
      <c r="D123" s="44"/>
      <c r="E123" s="44"/>
      <c r="F123" s="44"/>
      <c r="G123" s="44"/>
    </row>
    <row r="124" customFormat="false" ht="15.75" hidden="false" customHeight="true" outlineLevel="0" collapsed="false">
      <c r="A124" s="43"/>
      <c r="B124" s="44"/>
      <c r="C124" s="44"/>
      <c r="D124" s="44"/>
      <c r="E124" s="44"/>
      <c r="F124" s="44"/>
      <c r="G124" s="44"/>
    </row>
    <row r="125" customFormat="false" ht="15.75" hidden="false" customHeight="true" outlineLevel="0" collapsed="false">
      <c r="A125" s="43"/>
      <c r="B125" s="44"/>
      <c r="C125" s="44"/>
      <c r="D125" s="44"/>
      <c r="E125" s="44"/>
      <c r="F125" s="44"/>
      <c r="G125" s="44"/>
    </row>
    <row r="126" customFormat="false" ht="15.75" hidden="false" customHeight="true" outlineLevel="0" collapsed="false">
      <c r="A126" s="43"/>
      <c r="B126" s="44"/>
      <c r="C126" s="44"/>
      <c r="D126" s="44"/>
      <c r="E126" s="44"/>
      <c r="F126" s="44"/>
      <c r="G126" s="44"/>
    </row>
    <row r="127" customFormat="false" ht="15.75" hidden="false" customHeight="true" outlineLevel="0" collapsed="false">
      <c r="A127" s="43"/>
      <c r="B127" s="44"/>
      <c r="C127" s="44"/>
      <c r="D127" s="44"/>
      <c r="E127" s="44"/>
      <c r="F127" s="44"/>
      <c r="G127" s="44"/>
    </row>
    <row r="128" customFormat="false" ht="15.75" hidden="false" customHeight="true" outlineLevel="0" collapsed="false">
      <c r="A128" s="43"/>
      <c r="B128" s="44"/>
      <c r="C128" s="44"/>
      <c r="D128" s="44"/>
      <c r="E128" s="44"/>
      <c r="F128" s="44"/>
      <c r="G128" s="44"/>
    </row>
    <row r="129" customFormat="false" ht="15.75" hidden="false" customHeight="true" outlineLevel="0" collapsed="false">
      <c r="A129" s="43"/>
      <c r="B129" s="44"/>
      <c r="C129" s="44"/>
      <c r="D129" s="44"/>
      <c r="E129" s="44"/>
      <c r="F129" s="44"/>
      <c r="G129" s="44"/>
    </row>
    <row r="130" customFormat="false" ht="15.75" hidden="false" customHeight="true" outlineLevel="0" collapsed="false">
      <c r="A130" s="43"/>
      <c r="B130" s="44"/>
      <c r="C130" s="44"/>
      <c r="D130" s="44"/>
      <c r="E130" s="44"/>
      <c r="F130" s="44"/>
      <c r="G130" s="44"/>
    </row>
    <row r="131" customFormat="false" ht="15.75" hidden="false" customHeight="true" outlineLevel="0" collapsed="false">
      <c r="A131" s="43"/>
      <c r="B131" s="44"/>
      <c r="C131" s="44"/>
      <c r="D131" s="44"/>
      <c r="E131" s="44"/>
      <c r="F131" s="44"/>
      <c r="G131" s="44"/>
    </row>
    <row r="132" customFormat="false" ht="15.75" hidden="false" customHeight="true" outlineLevel="0" collapsed="false">
      <c r="A132" s="43"/>
      <c r="B132" s="44"/>
      <c r="C132" s="44"/>
      <c r="D132" s="44"/>
      <c r="E132" s="44"/>
      <c r="F132" s="44"/>
      <c r="G132" s="44"/>
    </row>
    <row r="133" customFormat="false" ht="15.75" hidden="false" customHeight="true" outlineLevel="0" collapsed="false">
      <c r="A133" s="43"/>
      <c r="B133" s="44"/>
      <c r="C133" s="44"/>
      <c r="D133" s="44"/>
      <c r="E133" s="44"/>
      <c r="F133" s="44"/>
      <c r="G133" s="44"/>
    </row>
    <row r="134" customFormat="false" ht="15.75" hidden="false" customHeight="true" outlineLevel="0" collapsed="false">
      <c r="A134" s="43"/>
      <c r="B134" s="44"/>
      <c r="C134" s="44"/>
      <c r="D134" s="44"/>
      <c r="E134" s="44"/>
      <c r="F134" s="44"/>
      <c r="G134" s="44"/>
    </row>
    <row r="135" customFormat="false" ht="15.75" hidden="false" customHeight="true" outlineLevel="0" collapsed="false">
      <c r="A135" s="43"/>
      <c r="B135" s="44"/>
      <c r="C135" s="44"/>
      <c r="D135" s="44"/>
      <c r="E135" s="44"/>
      <c r="F135" s="44"/>
      <c r="G135" s="44"/>
    </row>
    <row r="136" customFormat="false" ht="15.75" hidden="false" customHeight="true" outlineLevel="0" collapsed="false">
      <c r="A136" s="43"/>
      <c r="B136" s="44"/>
      <c r="C136" s="44"/>
      <c r="D136" s="44"/>
      <c r="E136" s="44"/>
      <c r="F136" s="44"/>
      <c r="G136" s="44"/>
    </row>
    <row r="137" customFormat="false" ht="15.75" hidden="false" customHeight="true" outlineLevel="0" collapsed="false">
      <c r="A137" s="43"/>
      <c r="B137" s="44"/>
      <c r="C137" s="44"/>
      <c r="D137" s="44"/>
      <c r="E137" s="44"/>
      <c r="F137" s="44"/>
      <c r="G137" s="44"/>
    </row>
    <row r="138" customFormat="false" ht="15.75" hidden="false" customHeight="true" outlineLevel="0" collapsed="false">
      <c r="A138" s="43"/>
      <c r="B138" s="44"/>
      <c r="C138" s="44"/>
      <c r="D138" s="44"/>
      <c r="E138" s="44"/>
      <c r="F138" s="44"/>
      <c r="G138" s="44"/>
    </row>
    <row r="139" customFormat="false" ht="15.75" hidden="false" customHeight="true" outlineLevel="0" collapsed="false">
      <c r="A139" s="43"/>
      <c r="B139" s="44"/>
      <c r="C139" s="44"/>
      <c r="D139" s="44"/>
      <c r="E139" s="44"/>
      <c r="F139" s="44"/>
      <c r="G139" s="44"/>
    </row>
    <row r="140" customFormat="false" ht="15.75" hidden="false" customHeight="true" outlineLevel="0" collapsed="false">
      <c r="A140" s="43"/>
      <c r="B140" s="44"/>
      <c r="C140" s="44"/>
      <c r="D140" s="44"/>
      <c r="E140" s="44"/>
      <c r="F140" s="44"/>
      <c r="G140" s="44"/>
    </row>
    <row r="141" customFormat="false" ht="15.75" hidden="false" customHeight="true" outlineLevel="0" collapsed="false">
      <c r="A141" s="43"/>
      <c r="B141" s="44"/>
      <c r="C141" s="44"/>
      <c r="D141" s="44"/>
      <c r="E141" s="44"/>
      <c r="F141" s="44"/>
      <c r="G141" s="44"/>
    </row>
    <row r="142" customFormat="false" ht="15.75" hidden="false" customHeight="true" outlineLevel="0" collapsed="false">
      <c r="A142" s="43"/>
      <c r="B142" s="44"/>
      <c r="C142" s="44"/>
      <c r="D142" s="44"/>
      <c r="E142" s="44"/>
      <c r="F142" s="44"/>
      <c r="G142" s="44"/>
    </row>
    <row r="143" customFormat="false" ht="15.75" hidden="false" customHeight="true" outlineLevel="0" collapsed="false">
      <c r="A143" s="43"/>
      <c r="B143" s="44"/>
      <c r="C143" s="44"/>
      <c r="D143" s="44"/>
      <c r="E143" s="44"/>
      <c r="F143" s="44"/>
      <c r="G143" s="44"/>
    </row>
    <row r="144" customFormat="false" ht="15.75" hidden="false" customHeight="true" outlineLevel="0" collapsed="false">
      <c r="A144" s="43"/>
      <c r="B144" s="44"/>
      <c r="C144" s="44"/>
      <c r="D144" s="44"/>
      <c r="E144" s="44"/>
      <c r="F144" s="44"/>
      <c r="G144" s="44"/>
    </row>
    <row r="145" customFormat="false" ht="15.75" hidden="false" customHeight="true" outlineLevel="0" collapsed="false">
      <c r="A145" s="43"/>
      <c r="B145" s="44"/>
      <c r="C145" s="44"/>
      <c r="D145" s="44"/>
      <c r="E145" s="44"/>
      <c r="F145" s="44"/>
      <c r="G145" s="44"/>
    </row>
    <row r="146" customFormat="false" ht="15.75" hidden="false" customHeight="true" outlineLevel="0" collapsed="false">
      <c r="A146" s="43"/>
      <c r="B146" s="44"/>
      <c r="C146" s="44"/>
      <c r="D146" s="44"/>
      <c r="E146" s="44"/>
      <c r="F146" s="44"/>
      <c r="G146" s="44"/>
    </row>
    <row r="147" customFormat="false" ht="15.75" hidden="false" customHeight="true" outlineLevel="0" collapsed="false">
      <c r="A147" s="43"/>
      <c r="B147" s="44"/>
      <c r="C147" s="44"/>
      <c r="D147" s="44"/>
      <c r="E147" s="44"/>
      <c r="F147" s="44"/>
      <c r="G147" s="44"/>
    </row>
    <row r="148" customFormat="false" ht="15.75" hidden="false" customHeight="true" outlineLevel="0" collapsed="false">
      <c r="A148" s="43"/>
      <c r="B148" s="44"/>
      <c r="C148" s="44"/>
      <c r="D148" s="44"/>
      <c r="E148" s="44"/>
      <c r="F148" s="44"/>
      <c r="G148" s="44"/>
    </row>
    <row r="149" customFormat="false" ht="15.75" hidden="false" customHeight="true" outlineLevel="0" collapsed="false">
      <c r="A149" s="43"/>
      <c r="B149" s="44"/>
      <c r="C149" s="44"/>
      <c r="D149" s="44"/>
      <c r="E149" s="44"/>
      <c r="F149" s="44"/>
      <c r="G149" s="44"/>
    </row>
    <row r="150" customFormat="false" ht="15.75" hidden="false" customHeight="true" outlineLevel="0" collapsed="false">
      <c r="A150" s="43"/>
      <c r="B150" s="44"/>
      <c r="C150" s="44"/>
      <c r="D150" s="44"/>
      <c r="E150" s="44"/>
      <c r="F150" s="44"/>
      <c r="G150" s="44"/>
    </row>
    <row r="151" customFormat="false" ht="15.75" hidden="false" customHeight="true" outlineLevel="0" collapsed="false">
      <c r="A151" s="43"/>
      <c r="B151" s="44"/>
      <c r="C151" s="44"/>
      <c r="D151" s="44"/>
      <c r="E151" s="44"/>
      <c r="F151" s="44"/>
      <c r="G151" s="44"/>
    </row>
    <row r="152" customFormat="false" ht="15.75" hidden="false" customHeight="true" outlineLevel="0" collapsed="false">
      <c r="A152" s="43"/>
      <c r="B152" s="44"/>
      <c r="C152" s="44"/>
      <c r="D152" s="44"/>
      <c r="E152" s="44"/>
      <c r="F152" s="44"/>
      <c r="G152" s="44"/>
    </row>
    <row r="153" customFormat="false" ht="15.75" hidden="false" customHeight="true" outlineLevel="0" collapsed="false">
      <c r="A153" s="43"/>
      <c r="B153" s="44"/>
      <c r="C153" s="44"/>
      <c r="D153" s="44"/>
      <c r="E153" s="44"/>
      <c r="F153" s="44"/>
      <c r="G153" s="44"/>
    </row>
    <row r="154" customFormat="false" ht="15.75" hidden="false" customHeight="true" outlineLevel="0" collapsed="false">
      <c r="A154" s="43"/>
      <c r="B154" s="44"/>
      <c r="C154" s="44"/>
      <c r="D154" s="44"/>
      <c r="E154" s="44"/>
      <c r="F154" s="44"/>
      <c r="G154" s="44"/>
    </row>
    <row r="155" customFormat="false" ht="15.75" hidden="false" customHeight="true" outlineLevel="0" collapsed="false">
      <c r="A155" s="43"/>
      <c r="B155" s="44"/>
      <c r="C155" s="44"/>
      <c r="D155" s="44"/>
      <c r="E155" s="44"/>
      <c r="F155" s="44"/>
      <c r="G155" s="44"/>
    </row>
    <row r="156" customFormat="false" ht="15.75" hidden="false" customHeight="true" outlineLevel="0" collapsed="false">
      <c r="A156" s="43"/>
      <c r="B156" s="44"/>
      <c r="C156" s="44"/>
      <c r="D156" s="44"/>
      <c r="E156" s="44"/>
      <c r="F156" s="44"/>
      <c r="G156" s="44"/>
    </row>
    <row r="157" customFormat="false" ht="15.75" hidden="false" customHeight="true" outlineLevel="0" collapsed="false">
      <c r="A157" s="43"/>
      <c r="B157" s="44"/>
      <c r="C157" s="44"/>
      <c r="D157" s="44"/>
      <c r="E157" s="44"/>
      <c r="F157" s="44"/>
      <c r="G157" s="44"/>
    </row>
    <row r="158" customFormat="false" ht="15.75" hidden="false" customHeight="true" outlineLevel="0" collapsed="false">
      <c r="A158" s="43"/>
      <c r="B158" s="44"/>
      <c r="C158" s="44"/>
      <c r="D158" s="44"/>
      <c r="E158" s="44"/>
      <c r="F158" s="44"/>
      <c r="G158" s="44"/>
    </row>
    <row r="159" customFormat="false" ht="15.75" hidden="false" customHeight="true" outlineLevel="0" collapsed="false">
      <c r="A159" s="43"/>
      <c r="B159" s="44"/>
      <c r="C159" s="44"/>
      <c r="D159" s="44"/>
      <c r="E159" s="44"/>
      <c r="F159" s="44"/>
      <c r="G159" s="44"/>
    </row>
    <row r="160" customFormat="false" ht="15.75" hidden="false" customHeight="true" outlineLevel="0" collapsed="false">
      <c r="A160" s="43"/>
      <c r="B160" s="44"/>
      <c r="C160" s="44"/>
      <c r="D160" s="44"/>
      <c r="E160" s="44"/>
      <c r="F160" s="44"/>
      <c r="G160" s="44"/>
    </row>
    <row r="161" customFormat="false" ht="15.75" hidden="false" customHeight="true" outlineLevel="0" collapsed="false">
      <c r="A161" s="43"/>
      <c r="B161" s="44"/>
      <c r="C161" s="44"/>
      <c r="D161" s="44"/>
      <c r="E161" s="44"/>
      <c r="F161" s="44"/>
      <c r="G161" s="44"/>
    </row>
    <row r="162" customFormat="false" ht="15.75" hidden="false" customHeight="true" outlineLevel="0" collapsed="false">
      <c r="A162" s="43"/>
      <c r="B162" s="44"/>
      <c r="C162" s="44"/>
      <c r="D162" s="44"/>
      <c r="E162" s="44"/>
      <c r="F162" s="44"/>
      <c r="G162" s="44"/>
    </row>
    <row r="163" customFormat="false" ht="15.75" hidden="false" customHeight="true" outlineLevel="0" collapsed="false">
      <c r="A163" s="43"/>
      <c r="B163" s="44"/>
      <c r="C163" s="44"/>
      <c r="D163" s="44"/>
      <c r="E163" s="44"/>
      <c r="F163" s="44"/>
      <c r="G163" s="44"/>
    </row>
    <row r="164" customFormat="false" ht="15.75" hidden="false" customHeight="true" outlineLevel="0" collapsed="false">
      <c r="A164" s="43"/>
      <c r="B164" s="44"/>
      <c r="C164" s="44"/>
      <c r="D164" s="44"/>
      <c r="E164" s="44"/>
      <c r="F164" s="44"/>
      <c r="G164" s="44"/>
    </row>
    <row r="165" customFormat="false" ht="15.75" hidden="false" customHeight="true" outlineLevel="0" collapsed="false">
      <c r="A165" s="43"/>
      <c r="B165" s="44"/>
      <c r="C165" s="44"/>
      <c r="D165" s="44"/>
      <c r="E165" s="44"/>
      <c r="F165" s="44"/>
      <c r="G165" s="44"/>
    </row>
    <row r="166" customFormat="false" ht="15.75" hidden="false" customHeight="true" outlineLevel="0" collapsed="false">
      <c r="A166" s="43"/>
      <c r="B166" s="44"/>
      <c r="C166" s="44"/>
      <c r="D166" s="44"/>
      <c r="E166" s="44"/>
      <c r="F166" s="44"/>
      <c r="G166" s="44"/>
    </row>
    <row r="167" customFormat="false" ht="15.75" hidden="false" customHeight="true" outlineLevel="0" collapsed="false">
      <c r="A167" s="43"/>
      <c r="B167" s="44"/>
      <c r="C167" s="44"/>
      <c r="D167" s="44"/>
      <c r="E167" s="44"/>
      <c r="F167" s="44"/>
      <c r="G167" s="44"/>
    </row>
    <row r="168" customFormat="false" ht="15.75" hidden="false" customHeight="true" outlineLevel="0" collapsed="false">
      <c r="A168" s="43"/>
      <c r="B168" s="44"/>
      <c r="C168" s="44"/>
      <c r="D168" s="44"/>
      <c r="E168" s="44"/>
      <c r="F168" s="44"/>
      <c r="G168" s="44"/>
    </row>
    <row r="169" customFormat="false" ht="15.75" hidden="false" customHeight="true" outlineLevel="0" collapsed="false">
      <c r="A169" s="43"/>
      <c r="B169" s="44"/>
      <c r="C169" s="44"/>
      <c r="D169" s="44"/>
      <c r="E169" s="44"/>
      <c r="F169" s="44"/>
      <c r="G169" s="44"/>
    </row>
    <row r="170" customFormat="false" ht="15.75" hidden="false" customHeight="true" outlineLevel="0" collapsed="false">
      <c r="A170" s="43"/>
      <c r="B170" s="44"/>
      <c r="C170" s="44"/>
      <c r="D170" s="44"/>
      <c r="E170" s="44"/>
      <c r="F170" s="44"/>
      <c r="G170" s="44"/>
    </row>
    <row r="171" customFormat="false" ht="15.75" hidden="false" customHeight="true" outlineLevel="0" collapsed="false">
      <c r="A171" s="43"/>
      <c r="B171" s="44"/>
      <c r="C171" s="44"/>
      <c r="D171" s="44"/>
      <c r="E171" s="44"/>
      <c r="F171" s="44"/>
      <c r="G171" s="44"/>
    </row>
    <row r="172" customFormat="false" ht="15.75" hidden="false" customHeight="true" outlineLevel="0" collapsed="false">
      <c r="A172" s="43"/>
      <c r="B172" s="44"/>
      <c r="C172" s="44"/>
      <c r="D172" s="44"/>
      <c r="E172" s="44"/>
      <c r="F172" s="44"/>
      <c r="G172" s="44"/>
    </row>
    <row r="173" customFormat="false" ht="15.75" hidden="false" customHeight="true" outlineLevel="0" collapsed="false">
      <c r="A173" s="43"/>
      <c r="B173" s="44"/>
      <c r="C173" s="44"/>
      <c r="D173" s="44"/>
      <c r="E173" s="44"/>
      <c r="F173" s="44"/>
      <c r="G173" s="44"/>
    </row>
    <row r="174" customFormat="false" ht="15.75" hidden="false" customHeight="true" outlineLevel="0" collapsed="false">
      <c r="A174" s="43"/>
      <c r="B174" s="44"/>
      <c r="C174" s="44"/>
      <c r="D174" s="44"/>
      <c r="E174" s="44"/>
      <c r="F174" s="44"/>
      <c r="G174" s="44"/>
    </row>
    <row r="175" customFormat="false" ht="15.75" hidden="false" customHeight="true" outlineLevel="0" collapsed="false">
      <c r="A175" s="43"/>
      <c r="B175" s="44"/>
      <c r="C175" s="44"/>
      <c r="D175" s="44"/>
      <c r="E175" s="44"/>
      <c r="F175" s="44"/>
      <c r="G175" s="44"/>
    </row>
    <row r="176" customFormat="false" ht="15.75" hidden="false" customHeight="true" outlineLevel="0" collapsed="false">
      <c r="A176" s="43"/>
      <c r="B176" s="44"/>
      <c r="C176" s="44"/>
      <c r="D176" s="44"/>
      <c r="E176" s="44"/>
      <c r="F176" s="44"/>
      <c r="G176" s="44"/>
    </row>
    <row r="177" customFormat="false" ht="15.75" hidden="false" customHeight="true" outlineLevel="0" collapsed="false">
      <c r="A177" s="43"/>
      <c r="B177" s="44"/>
      <c r="C177" s="44"/>
      <c r="D177" s="44"/>
      <c r="E177" s="44"/>
      <c r="F177" s="44"/>
      <c r="G177" s="44"/>
    </row>
    <row r="178" customFormat="false" ht="15.75" hidden="false" customHeight="true" outlineLevel="0" collapsed="false">
      <c r="A178" s="43"/>
      <c r="B178" s="44"/>
      <c r="C178" s="44"/>
      <c r="D178" s="44"/>
      <c r="E178" s="44"/>
      <c r="F178" s="44"/>
      <c r="G178" s="44"/>
    </row>
    <row r="179" customFormat="false" ht="15.75" hidden="false" customHeight="true" outlineLevel="0" collapsed="false">
      <c r="A179" s="43"/>
      <c r="B179" s="44"/>
      <c r="C179" s="44"/>
      <c r="D179" s="44"/>
      <c r="E179" s="44"/>
      <c r="F179" s="44"/>
      <c r="G179" s="44"/>
    </row>
    <row r="180" customFormat="false" ht="15.75" hidden="false" customHeight="true" outlineLevel="0" collapsed="false">
      <c r="A180" s="43"/>
      <c r="B180" s="44"/>
      <c r="C180" s="44"/>
      <c r="D180" s="44"/>
      <c r="E180" s="44"/>
      <c r="F180" s="44"/>
      <c r="G180" s="44"/>
    </row>
    <row r="181" customFormat="false" ht="15.75" hidden="false" customHeight="true" outlineLevel="0" collapsed="false">
      <c r="A181" s="43"/>
      <c r="B181" s="44"/>
      <c r="C181" s="44"/>
      <c r="D181" s="44"/>
      <c r="E181" s="44"/>
      <c r="F181" s="44"/>
      <c r="G181" s="44"/>
    </row>
    <row r="182" customFormat="false" ht="15.75" hidden="false" customHeight="true" outlineLevel="0" collapsed="false">
      <c r="A182" s="43"/>
      <c r="B182" s="44"/>
      <c r="C182" s="44"/>
      <c r="D182" s="44"/>
      <c r="E182" s="44"/>
      <c r="F182" s="44"/>
      <c r="G182" s="44"/>
    </row>
    <row r="183" customFormat="false" ht="15.75" hidden="false" customHeight="true" outlineLevel="0" collapsed="false">
      <c r="A183" s="43"/>
      <c r="B183" s="44"/>
      <c r="C183" s="44"/>
      <c r="D183" s="44"/>
      <c r="E183" s="44"/>
      <c r="F183" s="44"/>
      <c r="G183" s="44"/>
    </row>
    <row r="184" customFormat="false" ht="15.75" hidden="false" customHeight="true" outlineLevel="0" collapsed="false">
      <c r="A184" s="43"/>
      <c r="B184" s="44"/>
      <c r="C184" s="44"/>
      <c r="D184" s="44"/>
      <c r="E184" s="44"/>
      <c r="F184" s="44"/>
      <c r="G184" s="44"/>
    </row>
    <row r="185" customFormat="false" ht="15.75" hidden="false" customHeight="true" outlineLevel="0" collapsed="false">
      <c r="A185" s="43"/>
      <c r="B185" s="44"/>
      <c r="C185" s="44"/>
      <c r="D185" s="44"/>
      <c r="E185" s="44"/>
      <c r="F185" s="44"/>
      <c r="G185" s="44"/>
    </row>
    <row r="186" customFormat="false" ht="15.75" hidden="false" customHeight="true" outlineLevel="0" collapsed="false">
      <c r="A186" s="43"/>
      <c r="B186" s="44"/>
      <c r="C186" s="44"/>
      <c r="D186" s="44"/>
      <c r="E186" s="44"/>
      <c r="F186" s="44"/>
      <c r="G186" s="44"/>
    </row>
    <row r="187" customFormat="false" ht="15.75" hidden="false" customHeight="true" outlineLevel="0" collapsed="false">
      <c r="A187" s="43"/>
      <c r="B187" s="44"/>
      <c r="C187" s="44"/>
      <c r="D187" s="44"/>
      <c r="E187" s="44"/>
      <c r="F187" s="44"/>
      <c r="G187" s="44"/>
    </row>
    <row r="188" customFormat="false" ht="15.75" hidden="false" customHeight="true" outlineLevel="0" collapsed="false">
      <c r="A188" s="43"/>
      <c r="B188" s="44"/>
      <c r="C188" s="44"/>
      <c r="D188" s="44"/>
      <c r="E188" s="44"/>
      <c r="F188" s="44"/>
      <c r="G188" s="44"/>
    </row>
    <row r="189" customFormat="false" ht="15.75" hidden="false" customHeight="true" outlineLevel="0" collapsed="false">
      <c r="A189" s="43"/>
      <c r="B189" s="44"/>
      <c r="C189" s="44"/>
      <c r="D189" s="44"/>
      <c r="E189" s="44"/>
      <c r="F189" s="44"/>
      <c r="G189" s="44"/>
    </row>
    <row r="190" customFormat="false" ht="15.75" hidden="false" customHeight="true" outlineLevel="0" collapsed="false">
      <c r="A190" s="43"/>
      <c r="B190" s="44"/>
      <c r="C190" s="44"/>
      <c r="D190" s="44"/>
      <c r="E190" s="44"/>
      <c r="F190" s="44"/>
      <c r="G190" s="44"/>
    </row>
    <row r="191" customFormat="false" ht="15.75" hidden="false" customHeight="true" outlineLevel="0" collapsed="false">
      <c r="A191" s="43"/>
      <c r="B191" s="44"/>
      <c r="C191" s="44"/>
      <c r="D191" s="44"/>
      <c r="E191" s="44"/>
      <c r="F191" s="44"/>
      <c r="G191" s="44"/>
    </row>
    <row r="192" customFormat="false" ht="15.75" hidden="false" customHeight="true" outlineLevel="0" collapsed="false">
      <c r="A192" s="43"/>
      <c r="B192" s="44"/>
      <c r="C192" s="44"/>
      <c r="D192" s="44"/>
      <c r="E192" s="44"/>
      <c r="F192" s="44"/>
      <c r="G192" s="44"/>
    </row>
    <row r="193" customFormat="false" ht="15.75" hidden="false" customHeight="true" outlineLevel="0" collapsed="false">
      <c r="A193" s="43"/>
      <c r="B193" s="44"/>
      <c r="C193" s="44"/>
      <c r="D193" s="44"/>
      <c r="E193" s="44"/>
      <c r="F193" s="44"/>
      <c r="G193" s="44"/>
    </row>
    <row r="194" customFormat="false" ht="15.75" hidden="false" customHeight="true" outlineLevel="0" collapsed="false">
      <c r="A194" s="43"/>
      <c r="B194" s="44"/>
      <c r="C194" s="44"/>
      <c r="D194" s="44"/>
      <c r="E194" s="44"/>
      <c r="F194" s="44"/>
      <c r="G194" s="44"/>
    </row>
    <row r="195" customFormat="false" ht="15.75" hidden="false" customHeight="true" outlineLevel="0" collapsed="false">
      <c r="A195" s="43"/>
      <c r="B195" s="44"/>
      <c r="C195" s="44"/>
      <c r="D195" s="44"/>
      <c r="E195" s="44"/>
      <c r="F195" s="44"/>
      <c r="G195" s="44"/>
    </row>
    <row r="196" customFormat="false" ht="15.75" hidden="false" customHeight="true" outlineLevel="0" collapsed="false">
      <c r="A196" s="43"/>
      <c r="B196" s="44"/>
      <c r="C196" s="44"/>
      <c r="D196" s="44"/>
      <c r="E196" s="44"/>
      <c r="F196" s="44"/>
      <c r="G196" s="44"/>
    </row>
    <row r="197" customFormat="false" ht="15.75" hidden="false" customHeight="true" outlineLevel="0" collapsed="false">
      <c r="A197" s="43"/>
      <c r="B197" s="44"/>
      <c r="C197" s="44"/>
      <c r="D197" s="44"/>
      <c r="E197" s="44"/>
      <c r="F197" s="44"/>
      <c r="G197" s="44"/>
    </row>
    <row r="198" customFormat="false" ht="15.75" hidden="false" customHeight="true" outlineLevel="0" collapsed="false">
      <c r="A198" s="43"/>
      <c r="B198" s="44"/>
      <c r="C198" s="44"/>
      <c r="D198" s="44"/>
      <c r="E198" s="44"/>
      <c r="F198" s="44"/>
      <c r="G198" s="44"/>
    </row>
    <row r="199" customFormat="false" ht="15.75" hidden="false" customHeight="true" outlineLevel="0" collapsed="false">
      <c r="A199" s="43"/>
      <c r="B199" s="44"/>
      <c r="C199" s="44"/>
      <c r="D199" s="44"/>
      <c r="E199" s="44"/>
      <c r="F199" s="44"/>
      <c r="G199" s="44"/>
    </row>
    <row r="200" customFormat="false" ht="15.75" hidden="false" customHeight="true" outlineLevel="0" collapsed="false">
      <c r="A200" s="43"/>
      <c r="B200" s="44"/>
      <c r="C200" s="44"/>
      <c r="D200" s="44"/>
      <c r="E200" s="44"/>
      <c r="F200" s="44"/>
      <c r="G200" s="44"/>
    </row>
    <row r="201" customFormat="false" ht="15.75" hidden="false" customHeight="true" outlineLevel="0" collapsed="false">
      <c r="A201" s="43"/>
      <c r="B201" s="44"/>
      <c r="C201" s="44"/>
      <c r="D201" s="44"/>
      <c r="E201" s="44"/>
      <c r="F201" s="44"/>
      <c r="G201" s="44"/>
    </row>
    <row r="202" customFormat="false" ht="15.75" hidden="false" customHeight="true" outlineLevel="0" collapsed="false">
      <c r="A202" s="43"/>
      <c r="B202" s="44"/>
      <c r="C202" s="44"/>
      <c r="D202" s="44"/>
      <c r="E202" s="44"/>
      <c r="F202" s="44"/>
      <c r="G202" s="44"/>
    </row>
    <row r="203" customFormat="false" ht="15.75" hidden="false" customHeight="true" outlineLevel="0" collapsed="false">
      <c r="A203" s="43"/>
      <c r="B203" s="44"/>
      <c r="C203" s="44"/>
      <c r="D203" s="44"/>
      <c r="E203" s="44"/>
      <c r="F203" s="44"/>
      <c r="G203" s="44"/>
    </row>
    <row r="204" customFormat="false" ht="15.75" hidden="false" customHeight="true" outlineLevel="0" collapsed="false">
      <c r="A204" s="43"/>
      <c r="B204" s="44"/>
      <c r="C204" s="44"/>
      <c r="D204" s="44"/>
      <c r="E204" s="44"/>
      <c r="F204" s="44"/>
      <c r="G204" s="44"/>
    </row>
    <row r="205" customFormat="false" ht="15.75" hidden="false" customHeight="true" outlineLevel="0" collapsed="false">
      <c r="A205" s="43"/>
      <c r="B205" s="44"/>
      <c r="C205" s="44"/>
      <c r="D205" s="44"/>
      <c r="E205" s="44"/>
      <c r="F205" s="44"/>
      <c r="G205" s="44"/>
    </row>
    <row r="206" customFormat="false" ht="15.75" hidden="false" customHeight="true" outlineLevel="0" collapsed="false">
      <c r="A206" s="43"/>
      <c r="B206" s="44"/>
      <c r="C206" s="44"/>
      <c r="D206" s="44"/>
      <c r="E206" s="44"/>
      <c r="F206" s="44"/>
      <c r="G206" s="44"/>
    </row>
    <row r="207" customFormat="false" ht="15.75" hidden="false" customHeight="true" outlineLevel="0" collapsed="false">
      <c r="A207" s="43"/>
      <c r="B207" s="44"/>
      <c r="C207" s="44"/>
      <c r="D207" s="44"/>
      <c r="E207" s="44"/>
      <c r="F207" s="44"/>
      <c r="G207" s="44"/>
    </row>
    <row r="208" customFormat="false" ht="15.75" hidden="false" customHeight="true" outlineLevel="0" collapsed="false">
      <c r="A208" s="43"/>
      <c r="B208" s="44"/>
      <c r="C208" s="44"/>
      <c r="D208" s="44"/>
      <c r="E208" s="44"/>
      <c r="F208" s="44"/>
      <c r="G208" s="44"/>
    </row>
    <row r="209" customFormat="false" ht="15.75" hidden="false" customHeight="true" outlineLevel="0" collapsed="false">
      <c r="A209" s="43"/>
      <c r="B209" s="44"/>
      <c r="C209" s="44"/>
      <c r="D209" s="44"/>
      <c r="E209" s="44"/>
      <c r="F209" s="44"/>
      <c r="G209" s="44"/>
    </row>
    <row r="210" customFormat="false" ht="15.75" hidden="false" customHeight="true" outlineLevel="0" collapsed="false">
      <c r="A210" s="43"/>
      <c r="B210" s="44"/>
      <c r="C210" s="44"/>
      <c r="D210" s="44"/>
      <c r="E210" s="44"/>
      <c r="F210" s="44"/>
      <c r="G210" s="44"/>
    </row>
    <row r="211" customFormat="false" ht="15.75" hidden="false" customHeight="true" outlineLevel="0" collapsed="false">
      <c r="A211" s="43"/>
      <c r="B211" s="44"/>
      <c r="C211" s="44"/>
      <c r="D211" s="44"/>
      <c r="E211" s="44"/>
      <c r="F211" s="44"/>
      <c r="G211" s="44"/>
    </row>
    <row r="212" customFormat="false" ht="15.75" hidden="false" customHeight="true" outlineLevel="0" collapsed="false">
      <c r="A212" s="43"/>
      <c r="B212" s="44"/>
      <c r="C212" s="44"/>
      <c r="D212" s="44"/>
      <c r="E212" s="44"/>
      <c r="F212" s="44"/>
      <c r="G212" s="44"/>
    </row>
    <row r="213" customFormat="false" ht="15.75" hidden="false" customHeight="true" outlineLevel="0" collapsed="false">
      <c r="A213" s="43"/>
      <c r="B213" s="44"/>
      <c r="C213" s="44"/>
      <c r="D213" s="44"/>
      <c r="E213" s="44"/>
      <c r="F213" s="44"/>
      <c r="G213" s="44"/>
    </row>
    <row r="214" customFormat="false" ht="15.75" hidden="false" customHeight="true" outlineLevel="0" collapsed="false">
      <c r="A214" s="43"/>
      <c r="B214" s="44"/>
      <c r="C214" s="44"/>
      <c r="D214" s="44"/>
      <c r="E214" s="44"/>
      <c r="F214" s="44"/>
      <c r="G214" s="44"/>
    </row>
    <row r="215" customFormat="false" ht="15.75" hidden="false" customHeight="true" outlineLevel="0" collapsed="false">
      <c r="A215" s="43"/>
      <c r="B215" s="44"/>
      <c r="C215" s="44"/>
      <c r="D215" s="44"/>
      <c r="E215" s="44"/>
      <c r="F215" s="44"/>
      <c r="G215" s="44"/>
    </row>
    <row r="216" customFormat="false" ht="15.75" hidden="false" customHeight="true" outlineLevel="0" collapsed="false">
      <c r="A216" s="43"/>
      <c r="B216" s="44"/>
      <c r="C216" s="44"/>
      <c r="D216" s="44"/>
      <c r="E216" s="44"/>
      <c r="F216" s="44"/>
      <c r="G216" s="44"/>
    </row>
    <row r="217" customFormat="false" ht="15.75" hidden="false" customHeight="true" outlineLevel="0" collapsed="false">
      <c r="A217" s="43"/>
      <c r="B217" s="44"/>
      <c r="C217" s="44"/>
      <c r="D217" s="44"/>
      <c r="E217" s="44"/>
      <c r="F217" s="44"/>
      <c r="G217" s="44"/>
    </row>
    <row r="218" customFormat="false" ht="15.75" hidden="false" customHeight="true" outlineLevel="0" collapsed="false">
      <c r="A218" s="43"/>
      <c r="B218" s="44"/>
      <c r="C218" s="44"/>
      <c r="D218" s="44"/>
      <c r="E218" s="44"/>
      <c r="F218" s="44"/>
      <c r="G218" s="44"/>
    </row>
    <row r="219" customFormat="false" ht="15.75" hidden="false" customHeight="true" outlineLevel="0" collapsed="false">
      <c r="A219" s="43"/>
      <c r="B219" s="44"/>
      <c r="C219" s="44"/>
      <c r="D219" s="44"/>
      <c r="E219" s="44"/>
      <c r="F219" s="44"/>
      <c r="G219" s="44"/>
    </row>
    <row r="220" customFormat="false" ht="15.75" hidden="false" customHeight="true" outlineLevel="0" collapsed="false">
      <c r="A220" s="43"/>
      <c r="B220" s="44"/>
      <c r="C220" s="44"/>
      <c r="D220" s="44"/>
      <c r="E220" s="44"/>
      <c r="F220" s="44"/>
      <c r="G220" s="4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2:I2"/>
  </mergeCells>
  <dataValidations count="1">
    <dataValidation allowBlank="true" errorStyle="stop" operator="between" showDropDown="true" showErrorMessage="false" showInputMessage="false" sqref="D5:D78 F5:G78" type="custom">
      <formula1>AND(ISNUMBER(D5),(NOT(OR(NOT(ISERROR(DATEVALUE(D5))), AND(ISNUMBER(D5), LEFT(CELL("format", D5))="D")))))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2.71"/>
    <col collapsed="false" customWidth="true" hidden="false" outlineLevel="0" max="3" min="3" style="0" width="9.43"/>
    <col collapsed="false" customWidth="true" hidden="false" outlineLevel="0" max="4" min="4" style="0" width="22.43"/>
    <col collapsed="false" customWidth="true" hidden="false" outlineLevel="0" max="5" min="5" style="0" width="10.71"/>
    <col collapsed="false" customWidth="true" hidden="false" outlineLevel="0" max="6" min="6" style="0" width="17.71"/>
    <col collapsed="false" customWidth="true" hidden="false" outlineLevel="0" max="11" min="11" style="0" width="15.57"/>
    <col collapsed="false" customWidth="true" hidden="false" outlineLevel="0" max="12" min="12" style="0" width="19.86"/>
    <col collapsed="false" customWidth="true" hidden="false" outlineLevel="0" max="13" min="13" style="0" width="27.29"/>
    <col collapsed="false" customWidth="true" hidden="false" outlineLevel="0" max="15" min="15" style="0" width="22.71"/>
  </cols>
  <sheetData>
    <row r="1" customFormat="false" ht="15" hidden="false" customHeight="false" outlineLevel="0" collapsed="false">
      <c r="A1" s="62" t="s">
        <v>30</v>
      </c>
      <c r="B1" s="63" t="s">
        <v>31</v>
      </c>
      <c r="C1" s="64" t="s">
        <v>32</v>
      </c>
      <c r="D1" s="62" t="s">
        <v>33</v>
      </c>
      <c r="F1" s="65" t="s">
        <v>34</v>
      </c>
      <c r="J1" s="65" t="s">
        <v>35</v>
      </c>
    </row>
    <row r="2" customFormat="false" ht="15" hidden="false" customHeight="false" outlineLevel="0" collapsed="false">
      <c r="A2" s="62" t="n">
        <v>16</v>
      </c>
      <c r="B2" s="63" t="n">
        <v>5.22</v>
      </c>
      <c r="C2" s="66" t="n">
        <v>48.26</v>
      </c>
      <c r="D2" s="62" t="s">
        <v>8</v>
      </c>
      <c r="F2" s="65" t="s">
        <v>36</v>
      </c>
      <c r="G2" s="65" t="s">
        <v>37</v>
      </c>
      <c r="H2" s="65" t="s">
        <v>11</v>
      </c>
      <c r="J2" s="65" t="s">
        <v>31</v>
      </c>
      <c r="K2" s="65" t="s">
        <v>38</v>
      </c>
      <c r="L2" s="65" t="s">
        <v>39</v>
      </c>
    </row>
    <row r="3" customFormat="false" ht="15" hidden="false" customHeight="false" outlineLevel="0" collapsed="false">
      <c r="A3" s="62" t="n">
        <v>52</v>
      </c>
      <c r="B3" s="63" t="n">
        <v>6.17</v>
      </c>
      <c r="C3" s="66" t="n">
        <v>55.46</v>
      </c>
      <c r="D3" s="62" t="s">
        <v>8</v>
      </c>
      <c r="F3" s="67" t="n">
        <f aca="false">SUMIF($D$2:$D$661, "bien de conso.", $C$2:$C$661)</f>
        <v>14763.9</v>
      </c>
      <c r="G3" s="67" t="n">
        <f aca="false">SUMIF($D$2:$D$661, "nourriture", $C$2:$C$661)</f>
        <v>24898.82</v>
      </c>
      <c r="H3" s="67" t="n">
        <f aca="false">SUM(F3:G3)</f>
        <v>39662.72</v>
      </c>
      <c r="J3" s="65" t="s">
        <v>40</v>
      </c>
      <c r="K3" s="67" t="n">
        <f aca="false">COUNTIF(B2:B661, "&lt;4")</f>
        <v>47</v>
      </c>
      <c r="L3" s="67" t="n">
        <f aca="false">COUNTIF(B2:B661, "&gt;9,5")</f>
        <v>91</v>
      </c>
    </row>
    <row r="4" customFormat="false" ht="15" hidden="false" customHeight="false" outlineLevel="0" collapsed="false">
      <c r="A4" s="62" t="n">
        <v>58</v>
      </c>
      <c r="B4" s="63" t="n">
        <v>5.36</v>
      </c>
      <c r="C4" s="66" t="n">
        <v>53.2</v>
      </c>
      <c r="D4" s="62" t="s">
        <v>8</v>
      </c>
      <c r="F4" s="68" t="n">
        <f aca="false">F3/$H$3</f>
        <v>0.37223619560131</v>
      </c>
      <c r="G4" s="68" t="n">
        <f aca="false">G3/$H$3</f>
        <v>0.62776380439869</v>
      </c>
      <c r="H4" s="68" t="n">
        <f aca="false">H3/$H$3</f>
        <v>1</v>
      </c>
      <c r="J4" s="65" t="s">
        <v>41</v>
      </c>
      <c r="K4" s="67" t="n">
        <f aca="false">SUMIF(B2:B661, "&lt;4", C2:C661)</f>
        <v>1562.73</v>
      </c>
      <c r="L4" s="67" t="n">
        <f aca="false">SUMIF(B2:B661, "&gt;9,50", C2:C661)</f>
        <v>7577.32</v>
      </c>
    </row>
    <row r="5" customFormat="false" ht="15" hidden="false" customHeight="false" outlineLevel="0" collapsed="false">
      <c r="A5" s="62" t="n">
        <v>11</v>
      </c>
      <c r="B5" s="63" t="n">
        <v>5.46</v>
      </c>
      <c r="C5" s="66" t="n">
        <v>47.61</v>
      </c>
      <c r="D5" s="62" t="s">
        <v>8</v>
      </c>
    </row>
    <row r="6" customFormat="false" ht="15" hidden="false" customHeight="false" outlineLevel="0" collapsed="false">
      <c r="A6" s="62" t="n">
        <v>25</v>
      </c>
      <c r="B6" s="63" t="n">
        <v>9.77</v>
      </c>
      <c r="C6" s="66" t="n">
        <v>81.57</v>
      </c>
      <c r="D6" s="62" t="s">
        <v>8</v>
      </c>
      <c r="F6" s="67" t="n">
        <f aca="false">MAX(A2:A661)</f>
        <v>74</v>
      </c>
      <c r="G6" s="65" t="s">
        <v>42</v>
      </c>
    </row>
    <row r="7" customFormat="false" ht="15" hidden="false" customHeight="false" outlineLevel="0" collapsed="false">
      <c r="A7" s="62" t="n">
        <v>40</v>
      </c>
      <c r="B7" s="63" t="n">
        <v>6.96</v>
      </c>
      <c r="C7" s="66" t="n">
        <v>63.5</v>
      </c>
      <c r="D7" s="62" t="s">
        <v>8</v>
      </c>
      <c r="F7" s="65" t="s">
        <v>30</v>
      </c>
      <c r="G7" s="65" t="s">
        <v>43</v>
      </c>
      <c r="H7" s="65"/>
      <c r="I7" s="46" t="s">
        <v>44</v>
      </c>
      <c r="J7" s="47" t="s">
        <v>23</v>
      </c>
      <c r="K7" s="47" t="s">
        <v>24</v>
      </c>
      <c r="L7" s="47" t="s">
        <v>45</v>
      </c>
      <c r="M7" s="48" t="s">
        <v>26</v>
      </c>
      <c r="N7" s="47" t="s">
        <v>37</v>
      </c>
      <c r="O7" s="47" t="s">
        <v>28</v>
      </c>
      <c r="P7" s="49" t="s">
        <v>29</v>
      </c>
    </row>
    <row r="8" customFormat="false" ht="15" hidden="false" customHeight="false" outlineLevel="0" collapsed="false">
      <c r="A8" s="62" t="n">
        <v>8</v>
      </c>
      <c r="B8" s="63" t="n">
        <v>5.64</v>
      </c>
      <c r="C8" s="66" t="n">
        <v>46.17</v>
      </c>
      <c r="D8" s="62" t="s">
        <v>8</v>
      </c>
      <c r="F8" s="65" t="n">
        <v>1</v>
      </c>
      <c r="G8" s="67" t="n">
        <f aca="false">COUNTIF($A$2:$A$661, F8)</f>
        <v>9</v>
      </c>
      <c r="H8" s="65"/>
      <c r="I8" s="69" t="n">
        <v>1</v>
      </c>
      <c r="J8" s="70" t="n">
        <v>24</v>
      </c>
      <c r="K8" s="70" t="n">
        <f aca="false">COUNTIF($A$2:$A$661, J8)</f>
        <v>24</v>
      </c>
      <c r="L8" s="70" t="n">
        <f aca="false">COUNTIFS(A2:A661, J8, D2:D661, "bien de conso.")</f>
        <v>10</v>
      </c>
      <c r="M8" s="71" t="n">
        <f aca="false">SUMIFS(C2:C661,A2:A661, J8, D2:D661, "bien de conso.")</f>
        <v>631.71</v>
      </c>
      <c r="N8" s="70" t="n">
        <f aca="false">COUNTIFS(A2:A661, J8, D2:D661, "nourriture")</f>
        <v>14</v>
      </c>
      <c r="O8" s="71" t="n">
        <f aca="false">SUMIFS(C2:C661,A2:A661, J8, D2:D661, "nourriture")</f>
        <v>878.62</v>
      </c>
      <c r="P8" s="72" t="n">
        <f aca="false">SUM(M8,O8)</f>
        <v>1510.33</v>
      </c>
    </row>
    <row r="9" customFormat="false" ht="15" hidden="false" customHeight="false" outlineLevel="0" collapsed="false">
      <c r="A9" s="62" t="n">
        <v>1</v>
      </c>
      <c r="B9" s="63" t="n">
        <v>4.56</v>
      </c>
      <c r="C9" s="66" t="n">
        <v>46.9</v>
      </c>
      <c r="D9" s="62" t="s">
        <v>8</v>
      </c>
      <c r="F9" s="65" t="n">
        <v>2</v>
      </c>
      <c r="G9" s="67" t="n">
        <f aca="false">COUNTIF($A$2:$A$661, F9)</f>
        <v>12</v>
      </c>
      <c r="H9" s="65"/>
      <c r="I9" s="69" t="n">
        <v>2</v>
      </c>
      <c r="J9" s="70" t="n">
        <v>25</v>
      </c>
      <c r="K9" s="70" t="n">
        <f aca="false">COUNTIF($A$2:$A$661, J9)</f>
        <v>23</v>
      </c>
      <c r="L9" s="70" t="n">
        <f aca="false">COUNTIFS(A3:A662, J9, D3:D662, "bien de conso.")</f>
        <v>5</v>
      </c>
      <c r="M9" s="71" t="n">
        <f aca="false">SUMIFS(C3:C662,A3:A662, J9, D3:D662, "bien de conso.")</f>
        <v>368.74</v>
      </c>
      <c r="N9" s="70" t="n">
        <f aca="false">COUNTIFS(A3:A662, J9, D3:D662, "nourriture")</f>
        <v>18</v>
      </c>
      <c r="O9" s="71" t="n">
        <f aca="false">SUMIFS(C3:C662,A3:A662, J9, D3:D662, "nourriture")</f>
        <v>1028.41</v>
      </c>
      <c r="P9" s="72" t="n">
        <f aca="false">SUM(M9,O9)</f>
        <v>1397.15</v>
      </c>
    </row>
    <row r="10" customFormat="false" ht="15" hidden="false" customHeight="false" outlineLevel="0" collapsed="false">
      <c r="A10" s="62" t="n">
        <v>36</v>
      </c>
      <c r="B10" s="63" t="n">
        <v>5.2</v>
      </c>
      <c r="C10" s="66" t="n">
        <v>39.99</v>
      </c>
      <c r="D10" s="62" t="s">
        <v>8</v>
      </c>
      <c r="F10" s="65" t="n">
        <v>3</v>
      </c>
      <c r="G10" s="67" t="n">
        <f aca="false">COUNTIF($A$2:$A$661, F10)</f>
        <v>9</v>
      </c>
      <c r="H10" s="65"/>
      <c r="I10" s="69" t="n">
        <v>3</v>
      </c>
      <c r="J10" s="70" t="n">
        <v>26</v>
      </c>
      <c r="K10" s="70" t="n">
        <f aca="false">COUNTIF($A$2:$A$661, J10)</f>
        <v>21</v>
      </c>
      <c r="L10" s="70" t="n">
        <f aca="false">COUNTIFS(A4:A663, J10, D4:D663, "bien de conso.")</f>
        <v>10</v>
      </c>
      <c r="M10" s="71" t="n">
        <f aca="false">SUMIFS(C4:C663,A4:A663, J10, D4:D663, "bien de conso.")</f>
        <v>619.51</v>
      </c>
      <c r="N10" s="70" t="n">
        <f aca="false">COUNTIFS(A4:A663, J10, D4:D663, "nourriture")</f>
        <v>11</v>
      </c>
      <c r="O10" s="71" t="n">
        <f aca="false">SUMIFS(C4:C663,A4:A663, J10, D4:D663, "nourriture")</f>
        <v>719.24</v>
      </c>
      <c r="P10" s="72" t="n">
        <f aca="false">SUM(M10,O10)</f>
        <v>1338.75</v>
      </c>
    </row>
    <row r="11" customFormat="false" ht="15" hidden="false" customHeight="false" outlineLevel="0" collapsed="false">
      <c r="A11" s="62" t="n">
        <v>14</v>
      </c>
      <c r="B11" s="63" t="n">
        <v>6.28</v>
      </c>
      <c r="C11" s="66" t="n">
        <v>58.85</v>
      </c>
      <c r="D11" s="62" t="s">
        <v>8</v>
      </c>
      <c r="F11" s="65" t="n">
        <v>4</v>
      </c>
      <c r="G11" s="67" t="n">
        <f aca="false">COUNTIF($A$2:$A$661, F11)</f>
        <v>6</v>
      </c>
      <c r="H11" s="65"/>
      <c r="I11" s="69" t="n">
        <v>4</v>
      </c>
      <c r="J11" s="70" t="n">
        <v>31</v>
      </c>
      <c r="K11" s="70" t="n">
        <f aca="false">COUNTIF($A$2:$A$661, J11)</f>
        <v>19</v>
      </c>
      <c r="L11" s="70" t="n">
        <f aca="false">COUNTIFS(A5:A664, J11, D5:D664, "bien de conso.")</f>
        <v>11</v>
      </c>
      <c r="M11" s="71" t="n">
        <f aca="false">SUMIFS(C5:C664,A5:A664, J11, D5:D664, "bien de conso.")</f>
        <v>589.96</v>
      </c>
      <c r="N11" s="70" t="n">
        <f aca="false">COUNTIFS(A5:A664, J11, D5:D664, "nourriture")</f>
        <v>8</v>
      </c>
      <c r="O11" s="71" t="n">
        <f aca="false">SUMIFS(C5:C664,A5:A664, J11, D5:D664, "nourriture")</f>
        <v>525.25</v>
      </c>
      <c r="P11" s="72" t="n">
        <f aca="false">SUM(M11,O11)</f>
        <v>1115.21</v>
      </c>
    </row>
    <row r="12" customFormat="false" ht="15" hidden="false" customHeight="false" outlineLevel="0" collapsed="false">
      <c r="A12" s="62" t="n">
        <v>17</v>
      </c>
      <c r="B12" s="63" t="n">
        <v>6.06</v>
      </c>
      <c r="C12" s="66" t="n">
        <v>55.41</v>
      </c>
      <c r="D12" s="62" t="s">
        <v>8</v>
      </c>
      <c r="F12" s="65" t="n">
        <v>5</v>
      </c>
      <c r="G12" s="67" t="n">
        <f aca="false">COUNTIF($A$2:$A$661, F12)</f>
        <v>13</v>
      </c>
      <c r="H12" s="65"/>
      <c r="I12" s="69" t="n">
        <v>5</v>
      </c>
      <c r="J12" s="70" t="n">
        <v>36</v>
      </c>
      <c r="K12" s="70" t="n">
        <f aca="false">COUNTIF($A$2:$A$661, J12)</f>
        <v>19</v>
      </c>
      <c r="L12" s="70" t="n">
        <f aca="false">COUNTIFS(A6:A665, J12, D6:D665, "bien de conso.")</f>
        <v>8</v>
      </c>
      <c r="M12" s="71" t="n">
        <f aca="false">SUMIFS(C6:C665,A6:A665, J12, D6:D665, "bien de conso.")</f>
        <v>505.64</v>
      </c>
      <c r="N12" s="70" t="n">
        <f aca="false">COUNTIFS(A6:A665, J12, D6:D665, "nourriture")</f>
        <v>11</v>
      </c>
      <c r="O12" s="71" t="n">
        <f aca="false">SUMIFS(C6:C665,A6:A665, J12, D6:D665, "nourriture")</f>
        <v>729.21</v>
      </c>
      <c r="P12" s="72" t="n">
        <f aca="false">SUM(M12,O12)</f>
        <v>1234.85</v>
      </c>
    </row>
    <row r="13" customFormat="false" ht="15" hidden="false" customHeight="false" outlineLevel="0" collapsed="false">
      <c r="A13" s="62" t="n">
        <v>19</v>
      </c>
      <c r="B13" s="63" t="n">
        <v>6.57</v>
      </c>
      <c r="C13" s="66" t="n">
        <v>64.61</v>
      </c>
      <c r="D13" s="62" t="s">
        <v>8</v>
      </c>
      <c r="F13" s="65" t="n">
        <v>6</v>
      </c>
      <c r="G13" s="67" t="n">
        <f aca="false">COUNTIF($A$2:$A$661, F13)</f>
        <v>10</v>
      </c>
      <c r="H13" s="65"/>
      <c r="I13" s="69" t="n">
        <v>6</v>
      </c>
      <c r="J13" s="70" t="n">
        <v>38</v>
      </c>
      <c r="K13" s="70" t="n">
        <f aca="false">COUNTIF($A$2:$A$661, J13)</f>
        <v>19</v>
      </c>
      <c r="L13" s="70" t="n">
        <f aca="false">COUNTIFS(A7:A666, J13, D7:D666, "bien de conso.")</f>
        <v>10</v>
      </c>
      <c r="M13" s="71" t="n">
        <f aca="false">SUMIFS(C7:C666,A7:A666, J13, D7:D666, "bien de conso.")</f>
        <v>568.76</v>
      </c>
      <c r="N13" s="70" t="n">
        <f aca="false">COUNTIFS(A7:A666, J13, D7:D666, "nourriture")</f>
        <v>9</v>
      </c>
      <c r="O13" s="71" t="n">
        <f aca="false">SUMIFS(C7:C666,A7:A666, J13, D7:D666, "nourriture")</f>
        <v>526.25</v>
      </c>
      <c r="P13" s="72" t="n">
        <f aca="false">SUM(M13,O13)</f>
        <v>1095.01</v>
      </c>
    </row>
    <row r="14" customFormat="false" ht="15" hidden="false" customHeight="false" outlineLevel="0" collapsed="false">
      <c r="A14" s="62" t="n">
        <v>36</v>
      </c>
      <c r="B14" s="63" t="n">
        <v>4.24</v>
      </c>
      <c r="C14" s="66" t="n">
        <v>45.75</v>
      </c>
      <c r="D14" s="62" t="s">
        <v>8</v>
      </c>
      <c r="F14" s="65" t="n">
        <v>7</v>
      </c>
      <c r="G14" s="67" t="n">
        <f aca="false">COUNTIF($A$2:$A$661, F14)</f>
        <v>16</v>
      </c>
      <c r="H14" s="65"/>
      <c r="I14" s="69" t="n">
        <v>7</v>
      </c>
      <c r="J14" s="70" t="n">
        <v>20</v>
      </c>
      <c r="K14" s="70" t="n">
        <f aca="false">COUNTIF($A$2:$A$661, J14)</f>
        <v>18</v>
      </c>
      <c r="L14" s="70" t="n">
        <f aca="false">COUNTIFS(A8:A667, J14, D8:D667, "bien de conso.")</f>
        <v>6</v>
      </c>
      <c r="M14" s="71" t="n">
        <f aca="false">SUMIFS(C8:C667,A8:A667, J14, D8:D667, "bien de conso.")</f>
        <v>368.8</v>
      </c>
      <c r="N14" s="70" t="n">
        <f aca="false">COUNTIFS(A8:A667, J14, D8:D667, "nourriture")</f>
        <v>12</v>
      </c>
      <c r="O14" s="71" t="n">
        <f aca="false">SUMIFS(C8:C667,A8:A667, J14, D8:D667, "nourriture")</f>
        <v>779.15</v>
      </c>
      <c r="P14" s="72" t="n">
        <f aca="false">SUM(M14,O14)</f>
        <v>1147.95</v>
      </c>
    </row>
    <row r="15" customFormat="false" ht="15" hidden="false" customHeight="false" outlineLevel="0" collapsed="false">
      <c r="A15" s="62" t="n">
        <v>45</v>
      </c>
      <c r="B15" s="63" t="n">
        <v>8.71</v>
      </c>
      <c r="C15" s="66" t="n">
        <v>73.91</v>
      </c>
      <c r="D15" s="62" t="s">
        <v>8</v>
      </c>
      <c r="F15" s="65" t="n">
        <v>8</v>
      </c>
      <c r="G15" s="67" t="n">
        <f aca="false">COUNTIF($A$2:$A$661, F15)</f>
        <v>9</v>
      </c>
      <c r="H15" s="65"/>
      <c r="I15" s="69" t="n">
        <v>8</v>
      </c>
      <c r="J15" s="70" t="n">
        <v>30</v>
      </c>
      <c r="K15" s="70" t="n">
        <f aca="false">COUNTIF($A$2:$A$661, J15)</f>
        <v>18</v>
      </c>
      <c r="L15" s="70" t="n">
        <f aca="false">COUNTIFS(A9:A668, J15, D9:D668, "bien de conso.")</f>
        <v>8</v>
      </c>
      <c r="M15" s="71" t="n">
        <f aca="false">SUMIFS(C9:C668,A9:A668, J15, D9:D668, "bien de conso.")</f>
        <v>481.39</v>
      </c>
      <c r="N15" s="70" t="n">
        <f aca="false">COUNTIFS(A9:A668, J15, D9:D668, "nourriture")</f>
        <v>10</v>
      </c>
      <c r="O15" s="71" t="n">
        <f aca="false">SUMIFS(C9:C668,A9:A668, J15, D9:D668, "nourriture")</f>
        <v>519.33</v>
      </c>
      <c r="P15" s="72" t="n">
        <f aca="false">SUM(M15,O15)</f>
        <v>1000.72</v>
      </c>
    </row>
    <row r="16" customFormat="false" ht="15" hidden="false" customHeight="false" outlineLevel="0" collapsed="false">
      <c r="A16" s="62" t="n">
        <v>3</v>
      </c>
      <c r="B16" s="63" t="n">
        <v>6.22</v>
      </c>
      <c r="C16" s="66" t="n">
        <v>51.33</v>
      </c>
      <c r="D16" s="62" t="s">
        <v>8</v>
      </c>
      <c r="F16" s="65" t="n">
        <v>9</v>
      </c>
      <c r="G16" s="67" t="n">
        <f aca="false">COUNTIF($A$2:$A$661, F16)</f>
        <v>16</v>
      </c>
      <c r="H16" s="65"/>
      <c r="I16" s="69" t="n">
        <v>9</v>
      </c>
      <c r="J16" s="70" t="n">
        <v>27</v>
      </c>
      <c r="K16" s="70" t="n">
        <f aca="false">COUNTIF($A$2:$A$661, J16)</f>
        <v>17</v>
      </c>
      <c r="L16" s="70" t="n">
        <f aca="false">COUNTIFS(A10:A669, J16, D10:D669, "bien de conso.")</f>
        <v>7</v>
      </c>
      <c r="M16" s="71" t="n">
        <f aca="false">SUMIFS(C10:C669,A10:A669, J16, D10:D669, "bien de conso.")</f>
        <v>364.6</v>
      </c>
      <c r="N16" s="70" t="n">
        <f aca="false">COUNTIFS(A10:A669, J16, D10:D669, "nourriture")</f>
        <v>10</v>
      </c>
      <c r="O16" s="71" t="n">
        <f aca="false">SUMIFS(C10:C669,A10:A669, J16, D10:D669, "nourriture")</f>
        <v>570.93</v>
      </c>
      <c r="P16" s="72" t="n">
        <f aca="false">SUM(M16,O16)</f>
        <v>935.53</v>
      </c>
    </row>
    <row r="17" customFormat="false" ht="15" hidden="false" customHeight="false" outlineLevel="0" collapsed="false">
      <c r="A17" s="62" t="n">
        <v>39</v>
      </c>
      <c r="B17" s="63" t="n">
        <v>5.47</v>
      </c>
      <c r="C17" s="66" t="n">
        <v>49.61</v>
      </c>
      <c r="D17" s="62" t="s">
        <v>8</v>
      </c>
      <c r="F17" s="65" t="n">
        <v>10</v>
      </c>
      <c r="G17" s="67" t="n">
        <f aca="false">COUNTIF($A$2:$A$661, F17)</f>
        <v>15</v>
      </c>
      <c r="H17" s="65"/>
      <c r="I17" s="69" t="n">
        <v>10</v>
      </c>
      <c r="J17" s="70" t="n">
        <v>28</v>
      </c>
      <c r="K17" s="70" t="n">
        <f aca="false">COUNTIF($A$2:$A$661, J17)</f>
        <v>17</v>
      </c>
      <c r="L17" s="70" t="n">
        <f aca="false">COUNTIFS(A11:A670, J17, D11:D670, "bien de conso.")</f>
        <v>9</v>
      </c>
      <c r="M17" s="71" t="n">
        <f aca="false">SUMIFS(C11:C670,A11:A670, J17, D11:D670, "bien de conso.")</f>
        <v>544.32</v>
      </c>
      <c r="N17" s="70" t="n">
        <f aca="false">COUNTIFS(A11:A670, J17, D11:D670, "nourriture")</f>
        <v>8</v>
      </c>
      <c r="O17" s="71" t="n">
        <f aca="false">SUMIFS(C11:C670,A11:A670, J17, D11:D670, "nourriture")</f>
        <v>481.02</v>
      </c>
      <c r="P17" s="72" t="n">
        <f aca="false">SUM(M17,O17)</f>
        <v>1025.34</v>
      </c>
    </row>
    <row r="18" customFormat="false" ht="15" hidden="false" customHeight="false" outlineLevel="0" collapsed="false">
      <c r="A18" s="62" t="n">
        <v>15</v>
      </c>
      <c r="B18" s="63" t="n">
        <v>9.98</v>
      </c>
      <c r="C18" s="66" t="n">
        <v>83.73</v>
      </c>
      <c r="D18" s="62" t="s">
        <v>8</v>
      </c>
      <c r="F18" s="65" t="n">
        <v>11</v>
      </c>
      <c r="G18" s="67" t="n">
        <f aca="false">COUNTIF($A$2:$A$661, F18)</f>
        <v>5</v>
      </c>
      <c r="H18" s="65"/>
      <c r="I18" s="73" t="n">
        <v>11</v>
      </c>
      <c r="J18" s="74" t="n">
        <v>7</v>
      </c>
      <c r="K18" s="74" t="n">
        <f aca="false">COUNTIF($A$2:$A$661, J18)</f>
        <v>16</v>
      </c>
      <c r="L18" s="74" t="n">
        <f aca="false">COUNTIFS(A12:A671, J18, D12:D671, "bien de conso.")</f>
        <v>8</v>
      </c>
      <c r="M18" s="75" t="n">
        <f aca="false">SUMIFS(C12:C671,A12:A671, J18, D12:D671, "bien de conso.")</f>
        <v>536.27</v>
      </c>
      <c r="N18" s="74" t="n">
        <f aca="false">COUNTIFS(A12:A671, J18, D12:D671, "nourriture")</f>
        <v>8</v>
      </c>
      <c r="O18" s="75" t="n">
        <f aca="false">SUMIFS(C12:C671,A12:A671, J18, D12:D671, "nourriture")</f>
        <v>320.99</v>
      </c>
      <c r="P18" s="76" t="n">
        <f aca="false">SUM(M18,O18)</f>
        <v>857.26</v>
      </c>
    </row>
    <row r="19" customFormat="false" ht="15" hidden="false" customHeight="false" outlineLevel="0" collapsed="false">
      <c r="A19" s="62" t="n">
        <v>28</v>
      </c>
      <c r="B19" s="63" t="n">
        <v>5.39</v>
      </c>
      <c r="C19" s="66" t="n">
        <v>44.63</v>
      </c>
      <c r="D19" s="62" t="s">
        <v>8</v>
      </c>
      <c r="F19" s="65" t="n">
        <v>12</v>
      </c>
      <c r="G19" s="67" t="n">
        <f aca="false">COUNTIF($A$2:$A$661, F19)</f>
        <v>8</v>
      </c>
      <c r="H19" s="65"/>
      <c r="I19" s="77" t="n">
        <v>12</v>
      </c>
      <c r="J19" s="78" t="n">
        <v>9</v>
      </c>
      <c r="K19" s="78" t="n">
        <f aca="false">COUNTIF($A$2:$A$661, J19)</f>
        <v>16</v>
      </c>
      <c r="L19" s="78" t="n">
        <f aca="false">COUNTIFS(A13:A672, J19, D13:D672, "bien de conso.")</f>
        <v>5</v>
      </c>
      <c r="M19" s="79" t="n">
        <f aca="false">SUMIFS(C13:C672,A13:A672, J19, D13:D672, "bien de conso.")</f>
        <v>273.39</v>
      </c>
      <c r="N19" s="78" t="n">
        <f aca="false">COUNTIFS(A13:A672, J19, D13:D672, "nourriture")</f>
        <v>11</v>
      </c>
      <c r="O19" s="79" t="n">
        <f aca="false">SUMIFS(C13:C672,A13:A672, J19, D13:D672, "nourriture")</f>
        <v>608.84</v>
      </c>
      <c r="P19" s="80" t="n">
        <f aca="false">SUM(M19,O19)</f>
        <v>882.23</v>
      </c>
    </row>
    <row r="20" customFormat="false" ht="15" hidden="false" customHeight="false" outlineLevel="0" collapsed="false">
      <c r="A20" s="62" t="n">
        <v>7</v>
      </c>
      <c r="B20" s="63" t="n">
        <v>9.95</v>
      </c>
      <c r="C20" s="66" t="n">
        <v>80.99</v>
      </c>
      <c r="D20" s="62" t="s">
        <v>8</v>
      </c>
      <c r="F20" s="65" t="n">
        <v>13</v>
      </c>
      <c r="G20" s="67" t="n">
        <f aca="false">COUNTIF($A$2:$A$661, F20)</f>
        <v>11</v>
      </c>
      <c r="H20" s="65"/>
      <c r="I20" s="73" t="n">
        <v>13</v>
      </c>
      <c r="J20" s="74" t="n">
        <v>15</v>
      </c>
      <c r="K20" s="74" t="n">
        <f aca="false">COUNTIF($A$2:$A$661, J20)</f>
        <v>16</v>
      </c>
      <c r="L20" s="74" t="n">
        <f aca="false">COUNTIFS(A14:A673, J20, D14:D673, "bien de conso.")</f>
        <v>3</v>
      </c>
      <c r="M20" s="75" t="n">
        <f aca="false">SUMIFS(C14:C673,A14:A673, J20, D14:D673, "bien de conso.")</f>
        <v>190.66</v>
      </c>
      <c r="N20" s="74" t="n">
        <f aca="false">COUNTIFS(A14:A673, J20, D14:D673, "nourriture")</f>
        <v>13</v>
      </c>
      <c r="O20" s="75" t="n">
        <f aca="false">SUMIFS(C14:C673,A14:A673, J20, D14:D673, "nourriture")</f>
        <v>872.34</v>
      </c>
      <c r="P20" s="76" t="n">
        <f aca="false">SUM(M20,O20)</f>
        <v>1063</v>
      </c>
    </row>
    <row r="21" customFormat="false" ht="15.75" hidden="false" customHeight="true" outlineLevel="0" collapsed="false">
      <c r="A21" s="62" t="n">
        <v>41</v>
      </c>
      <c r="B21" s="63" t="n">
        <v>9.23</v>
      </c>
      <c r="C21" s="66" t="n">
        <v>74.24</v>
      </c>
      <c r="D21" s="62" t="s">
        <v>8</v>
      </c>
      <c r="F21" s="65" t="n">
        <v>14</v>
      </c>
      <c r="G21" s="67" t="n">
        <f aca="false">COUNTIF($A$2:$A$661, F21)</f>
        <v>14</v>
      </c>
      <c r="H21" s="65"/>
      <c r="I21" s="77" t="n">
        <v>14</v>
      </c>
      <c r="J21" s="78" t="n">
        <v>17</v>
      </c>
      <c r="K21" s="78" t="n">
        <f aca="false">COUNTIF($A$2:$A$661, J21)</f>
        <v>16</v>
      </c>
      <c r="L21" s="78" t="n">
        <f aca="false">COUNTIFS(A15:A674, J21, D15:D674, "bien de conso.")</f>
        <v>2</v>
      </c>
      <c r="M21" s="79" t="n">
        <f aca="false">SUMIFS(C15:C674,A15:A674, J21, D15:D674, "bien de conso.")</f>
        <v>70.2</v>
      </c>
      <c r="N21" s="78" t="n">
        <f aca="false">COUNTIFS(A15:A674, J21, D15:D674, "nourriture")</f>
        <v>13</v>
      </c>
      <c r="O21" s="79" t="n">
        <f aca="false">SUMIFS(C15:C674,A15:A674, J21, D15:D674, "nourriture")</f>
        <v>783.25</v>
      </c>
      <c r="P21" s="80" t="n">
        <f aca="false">SUM(M21,O21)</f>
        <v>853.45</v>
      </c>
    </row>
    <row r="22" customFormat="false" ht="15.75" hidden="false" customHeight="true" outlineLevel="0" collapsed="false">
      <c r="A22" s="62" t="n">
        <v>18</v>
      </c>
      <c r="B22" s="63" t="n">
        <v>8.39</v>
      </c>
      <c r="C22" s="66" t="n">
        <v>72.72</v>
      </c>
      <c r="D22" s="62" t="s">
        <v>8</v>
      </c>
      <c r="F22" s="65" t="n">
        <v>15</v>
      </c>
      <c r="G22" s="67" t="n">
        <f aca="false">COUNTIF($A$2:$A$661, F22)</f>
        <v>16</v>
      </c>
      <c r="H22" s="65"/>
      <c r="I22" s="73" t="n">
        <v>15</v>
      </c>
      <c r="J22" s="74" t="n">
        <v>29</v>
      </c>
      <c r="K22" s="74" t="n">
        <f aca="false">COUNTIF($A$2:$A$661, J22)</f>
        <v>16</v>
      </c>
      <c r="L22" s="74" t="n">
        <f aca="false">COUNTIFS(A16:A675, J22, D16:D675, "bien de conso.")</f>
        <v>5</v>
      </c>
      <c r="M22" s="75" t="n">
        <f aca="false">SUMIFS(C16:C675,A16:A675, J22, D16:D675, "bien de conso.")</f>
        <v>256.72</v>
      </c>
      <c r="N22" s="74" t="n">
        <f aca="false">COUNTIFS(A16:A675, J22, D16:D675, "nourriture")</f>
        <v>11</v>
      </c>
      <c r="O22" s="75" t="n">
        <f aca="false">SUMIFS(C16:C675,A16:A675, J22, D16:D675, "nourriture")</f>
        <v>541.62</v>
      </c>
      <c r="P22" s="76" t="n">
        <f aca="false">SUM(M22,O22)</f>
        <v>798.34</v>
      </c>
    </row>
    <row r="23" customFormat="false" ht="15.75" hidden="false" customHeight="true" outlineLevel="0" collapsed="false">
      <c r="A23" s="62" t="n">
        <v>23</v>
      </c>
      <c r="B23" s="63" t="n">
        <v>5.41</v>
      </c>
      <c r="C23" s="66" t="n">
        <v>44.6</v>
      </c>
      <c r="D23" s="62" t="s">
        <v>8</v>
      </c>
      <c r="F23" s="65" t="n">
        <v>16</v>
      </c>
      <c r="G23" s="67" t="n">
        <f aca="false">COUNTIF($A$2:$A$661, F23)</f>
        <v>14</v>
      </c>
      <c r="H23" s="65"/>
      <c r="I23" s="77" t="n">
        <v>16</v>
      </c>
      <c r="J23" s="78" t="n">
        <v>35</v>
      </c>
      <c r="K23" s="78" t="n">
        <f aca="false">COUNTIF($A$2:$A$661, J23)</f>
        <v>16</v>
      </c>
      <c r="L23" s="78" t="n">
        <f aca="false">COUNTIFS(A17:A676, J23, D17:D676, "bien de conso.")</f>
        <v>7</v>
      </c>
      <c r="M23" s="79" t="n">
        <f aca="false">SUMIFS(C17:C676,A17:A676, J23, D17:D676, "bien de conso.")</f>
        <v>482.34</v>
      </c>
      <c r="N23" s="78" t="n">
        <f aca="false">COUNTIFS(A17:A676, J23, D17:D676, "nourriture")</f>
        <v>9</v>
      </c>
      <c r="O23" s="79" t="n">
        <f aca="false">SUMIFS(C17:C676,A17:A676, J23, D17:D676, "nourriture")</f>
        <v>639.66</v>
      </c>
      <c r="P23" s="80" t="n">
        <f aca="false">SUM(M23,O23)</f>
        <v>1122</v>
      </c>
    </row>
    <row r="24" customFormat="false" ht="15.75" hidden="false" customHeight="true" outlineLevel="0" collapsed="false">
      <c r="A24" s="62" t="n">
        <v>7</v>
      </c>
      <c r="B24" s="63" t="n">
        <v>7.45</v>
      </c>
      <c r="C24" s="66" t="n">
        <v>57.16</v>
      </c>
      <c r="D24" s="62" t="s">
        <v>8</v>
      </c>
      <c r="F24" s="65" t="n">
        <v>17</v>
      </c>
      <c r="G24" s="67" t="n">
        <f aca="false">COUNTIF($A$2:$A$661, F24)</f>
        <v>16</v>
      </c>
      <c r="H24" s="65"/>
      <c r="I24" s="73" t="n">
        <v>17</v>
      </c>
      <c r="J24" s="74" t="n">
        <v>10</v>
      </c>
      <c r="K24" s="74" t="n">
        <f aca="false">COUNTIF($A$2:$A$661, J24)</f>
        <v>15</v>
      </c>
      <c r="L24" s="74" t="n">
        <f aca="false">COUNTIFS(A18:A677, J24, D18:D677, "bien de conso.")</f>
        <v>5</v>
      </c>
      <c r="M24" s="75" t="n">
        <f aca="false">SUMIFS(C18:C677,A18:A677, J24, D18:D677, "bien de conso.")</f>
        <v>223.78</v>
      </c>
      <c r="N24" s="74" t="n">
        <f aca="false">COUNTIFS(A18:A677, J24, D18:D677, "nourriture")</f>
        <v>10</v>
      </c>
      <c r="O24" s="75" t="n">
        <f aca="false">SUMIFS(C18:C677,A18:A677, J24, D18:D677, "nourriture")</f>
        <v>523.89</v>
      </c>
      <c r="P24" s="76" t="n">
        <f aca="false">SUM(M24,O24)</f>
        <v>747.67</v>
      </c>
    </row>
    <row r="25" customFormat="false" ht="15.75" hidden="false" customHeight="true" outlineLevel="0" collapsed="false">
      <c r="A25" s="62" t="n">
        <v>43</v>
      </c>
      <c r="B25" s="63" t="n">
        <v>5.03</v>
      </c>
      <c r="C25" s="66" t="n">
        <v>41.59</v>
      </c>
      <c r="D25" s="62" t="s">
        <v>8</v>
      </c>
      <c r="F25" s="65" t="n">
        <v>18</v>
      </c>
      <c r="G25" s="67" t="n">
        <f aca="false">COUNTIF($A$2:$A$661, F25)</f>
        <v>15</v>
      </c>
      <c r="H25" s="65"/>
      <c r="I25" s="77" t="n">
        <v>18</v>
      </c>
      <c r="J25" s="78" t="n">
        <v>18</v>
      </c>
      <c r="K25" s="78" t="n">
        <f aca="false">COUNTIF($A$2:$A$661, J25)</f>
        <v>15</v>
      </c>
      <c r="L25" s="78" t="n">
        <f aca="false">COUNTIFS(A19:A678, J25, D19:D678, "bien de conso.")</f>
        <v>8</v>
      </c>
      <c r="M25" s="79" t="n">
        <f aca="false">SUMIFS(C19:C678,A19:A678, J25, D19:D678, "bien de conso.")</f>
        <v>531.19</v>
      </c>
      <c r="N25" s="78" t="n">
        <f aca="false">COUNTIFS(A19:A678, J25, D19:D678, "nourriture")</f>
        <v>7</v>
      </c>
      <c r="O25" s="79" t="n">
        <f aca="false">SUMIFS(C19:C678,A19:A678, J25, D19:D678, "nourriture")</f>
        <v>483.06</v>
      </c>
      <c r="P25" s="80" t="n">
        <f aca="false">SUM(M25,O25)</f>
        <v>1014.25</v>
      </c>
    </row>
    <row r="26" customFormat="false" ht="15.75" hidden="false" customHeight="true" outlineLevel="0" collapsed="false">
      <c r="A26" s="62" t="n">
        <v>14</v>
      </c>
      <c r="B26" s="63" t="n">
        <v>5.15</v>
      </c>
      <c r="C26" s="66" t="n">
        <v>52.61</v>
      </c>
      <c r="D26" s="62" t="s">
        <v>8</v>
      </c>
      <c r="F26" s="65" t="n">
        <v>19</v>
      </c>
      <c r="G26" s="67" t="n">
        <f aca="false">COUNTIF($A$2:$A$661, F26)</f>
        <v>14</v>
      </c>
      <c r="H26" s="65"/>
      <c r="I26" s="73" t="n">
        <v>19</v>
      </c>
      <c r="J26" s="74" t="n">
        <v>22</v>
      </c>
      <c r="K26" s="74" t="n">
        <f aca="false">COUNTIF($A$2:$A$661, J26)</f>
        <v>15</v>
      </c>
      <c r="L26" s="74" t="n">
        <f aca="false">COUNTIFS(A20:A679, J26, D20:D679, "bien de conso.")</f>
        <v>5</v>
      </c>
      <c r="M26" s="75" t="n">
        <f aca="false">SUMIFS(C20:C679,A20:A679, J26, D20:D679, "bien de conso.")</f>
        <v>291.37</v>
      </c>
      <c r="N26" s="74" t="n">
        <f aca="false">COUNTIFS(A20:A679, J26, D20:D679, "nourriture")</f>
        <v>10</v>
      </c>
      <c r="O26" s="75" t="n">
        <f aca="false">SUMIFS(C20:C679,A20:A679, J26, D20:D679, "nourriture")</f>
        <v>743.33</v>
      </c>
      <c r="P26" s="76" t="n">
        <f aca="false">SUM(M26,O26)</f>
        <v>1034.7</v>
      </c>
    </row>
    <row r="27" customFormat="false" ht="15.75" hidden="false" customHeight="true" outlineLevel="0" collapsed="false">
      <c r="A27" s="62" t="n">
        <v>7</v>
      </c>
      <c r="B27" s="63" t="n">
        <v>6.43</v>
      </c>
      <c r="C27" s="66" t="n">
        <v>54.95</v>
      </c>
      <c r="D27" s="62" t="s">
        <v>8</v>
      </c>
      <c r="F27" s="65" t="n">
        <v>20</v>
      </c>
      <c r="G27" s="67" t="n">
        <f aca="false">COUNTIF($A$2:$A$661, F27)</f>
        <v>18</v>
      </c>
      <c r="H27" s="65"/>
      <c r="I27" s="77" t="n">
        <v>20</v>
      </c>
      <c r="J27" s="78" t="n">
        <v>23</v>
      </c>
      <c r="K27" s="78" t="n">
        <f aca="false">COUNTIF($A$2:$A$661, J27)</f>
        <v>15</v>
      </c>
      <c r="L27" s="78" t="n">
        <f aca="false">COUNTIFS(A21:A680, J27, D21:D680, "bien de conso.")</f>
        <v>8</v>
      </c>
      <c r="M27" s="79" t="n">
        <f aca="false">SUMIFS(C21:C680,A21:A680, J27, D21:D680, "bien de conso.")</f>
        <v>418.84</v>
      </c>
      <c r="N27" s="78" t="n">
        <f aca="false">COUNTIFS(A21:A680, J27, D21:D680, "nourriture")</f>
        <v>7</v>
      </c>
      <c r="O27" s="79" t="n">
        <f aca="false">SUMIFS(C21:C680,A21:A680, J27, D21:D680, "nourriture")</f>
        <v>415.3</v>
      </c>
      <c r="P27" s="80" t="n">
        <f aca="false">SUM(M27,O27)</f>
        <v>834.14</v>
      </c>
    </row>
    <row r="28" customFormat="false" ht="15.75" hidden="false" customHeight="true" outlineLevel="0" collapsed="false">
      <c r="A28" s="62" t="n">
        <v>39</v>
      </c>
      <c r="B28" s="63" t="n">
        <v>8.93</v>
      </c>
      <c r="C28" s="66" t="n">
        <v>72.44</v>
      </c>
      <c r="D28" s="62" t="s">
        <v>8</v>
      </c>
      <c r="F28" s="65" t="n">
        <v>21</v>
      </c>
      <c r="G28" s="67" t="n">
        <f aca="false">COUNTIF($A$2:$A$661, F28)</f>
        <v>10</v>
      </c>
      <c r="H28" s="65"/>
      <c r="I28" s="73" t="n">
        <v>21</v>
      </c>
      <c r="J28" s="74" t="n">
        <v>14</v>
      </c>
      <c r="K28" s="74" t="n">
        <f aca="false">COUNTIF($A$2:$A$661, J28)</f>
        <v>14</v>
      </c>
      <c r="L28" s="74" t="n">
        <f aca="false">COUNTIFS(A22:A681, J28, D22:D681, "bien de conso.")</f>
        <v>3</v>
      </c>
      <c r="M28" s="75" t="n">
        <f aca="false">SUMIFS(C22:C681,A22:A681, J28, D22:D681, "bien de conso.")</f>
        <v>214.93</v>
      </c>
      <c r="N28" s="74" t="n">
        <f aca="false">COUNTIFS(A22:A681, J28, D22:D681, "nourriture")</f>
        <v>10</v>
      </c>
      <c r="O28" s="75" t="n">
        <f aca="false">SUMIFS(C22:C681,A22:A681, J28, D22:D681, "nourriture")</f>
        <v>612.15</v>
      </c>
      <c r="P28" s="76" t="n">
        <f aca="false">SUM(M28,O28)</f>
        <v>827.08</v>
      </c>
    </row>
    <row r="29" customFormat="false" ht="15.75" hidden="false" customHeight="true" outlineLevel="0" collapsed="false">
      <c r="A29" s="62" t="n">
        <v>12</v>
      </c>
      <c r="B29" s="63" t="n">
        <v>8.44</v>
      </c>
      <c r="C29" s="66" t="n">
        <v>68.91</v>
      </c>
      <c r="D29" s="62" t="s">
        <v>8</v>
      </c>
      <c r="F29" s="65" t="n">
        <v>22</v>
      </c>
      <c r="G29" s="67" t="n">
        <f aca="false">COUNTIF($A$2:$A$661, F29)</f>
        <v>15</v>
      </c>
      <c r="H29" s="65"/>
      <c r="I29" s="77" t="n">
        <v>22</v>
      </c>
      <c r="J29" s="78" t="n">
        <v>16</v>
      </c>
      <c r="K29" s="78" t="n">
        <f aca="false">COUNTIF($A$2:$A$661, J29)</f>
        <v>14</v>
      </c>
      <c r="L29" s="78" t="n">
        <f aca="false">COUNTIFS(A23:A682, J29, D23:D682, "bien de conso.")</f>
        <v>5</v>
      </c>
      <c r="M29" s="79" t="n">
        <f aca="false">SUMIFS(C23:C682,A23:A682, J29, D23:D682, "bien de conso.")</f>
        <v>329.9</v>
      </c>
      <c r="N29" s="78" t="n">
        <f aca="false">COUNTIFS(A23:A682, J29, D23:D682, "nourriture")</f>
        <v>8</v>
      </c>
      <c r="O29" s="79" t="n">
        <f aca="false">SUMIFS(C23:C682,A23:A682, J29, D23:D682, "nourriture")</f>
        <v>588.88</v>
      </c>
      <c r="P29" s="80" t="n">
        <f aca="false">SUM(M29,O29)</f>
        <v>918.78</v>
      </c>
    </row>
    <row r="30" customFormat="false" ht="15.75" hidden="false" customHeight="true" outlineLevel="0" collapsed="false">
      <c r="A30" s="62" t="n">
        <v>31</v>
      </c>
      <c r="B30" s="63" t="n">
        <v>8.92</v>
      </c>
      <c r="C30" s="66" t="n">
        <v>77.15</v>
      </c>
      <c r="D30" s="62" t="s">
        <v>8</v>
      </c>
      <c r="F30" s="65" t="n">
        <v>23</v>
      </c>
      <c r="G30" s="67" t="n">
        <f aca="false">COUNTIF($A$2:$A$661, F30)</f>
        <v>15</v>
      </c>
      <c r="H30" s="65"/>
      <c r="I30" s="73" t="n">
        <v>23</v>
      </c>
      <c r="J30" s="74" t="n">
        <v>19</v>
      </c>
      <c r="K30" s="74" t="n">
        <f aca="false">COUNTIF($A$2:$A$661, J30)</f>
        <v>14</v>
      </c>
      <c r="L30" s="74" t="n">
        <f aca="false">COUNTIFS(A24:A683, J30, D24:D683, "bien de conso.")</f>
        <v>2</v>
      </c>
      <c r="M30" s="75" t="n">
        <f aca="false">SUMIFS(C24:C683,A24:A683, J30, D24:D683, "bien de conso.")</f>
        <v>105.23</v>
      </c>
      <c r="N30" s="74" t="n">
        <f aca="false">COUNTIFS(A24:A683, J30, D24:D683, "nourriture")</f>
        <v>11</v>
      </c>
      <c r="O30" s="75" t="n">
        <f aca="false">SUMIFS(C24:C683,A24:A683, J30, D24:D683, "nourriture")</f>
        <v>531.19</v>
      </c>
      <c r="P30" s="76" t="n">
        <f aca="false">SUM(M30,O30)</f>
        <v>636.42</v>
      </c>
    </row>
    <row r="31" customFormat="false" ht="15.75" hidden="false" customHeight="true" outlineLevel="0" collapsed="false">
      <c r="A31" s="62" t="n">
        <v>29</v>
      </c>
      <c r="B31" s="63" t="n">
        <v>5.47</v>
      </c>
      <c r="C31" s="66" t="n">
        <v>44.4</v>
      </c>
      <c r="D31" s="62" t="s">
        <v>8</v>
      </c>
      <c r="F31" s="65" t="n">
        <v>24</v>
      </c>
      <c r="G31" s="67" t="n">
        <f aca="false">COUNTIF($A$2:$A$661, F31)</f>
        <v>24</v>
      </c>
      <c r="H31" s="65"/>
      <c r="I31" s="77" t="n">
        <v>24</v>
      </c>
      <c r="J31" s="78" t="n">
        <v>34</v>
      </c>
      <c r="K31" s="78" t="n">
        <f aca="false">COUNTIF($A$2:$A$661, J31)</f>
        <v>14</v>
      </c>
      <c r="L31" s="78" t="n">
        <f aca="false">COUNTIFS(A25:A684, J31, D25:D684, "bien de conso.")</f>
        <v>8</v>
      </c>
      <c r="M31" s="79" t="n">
        <f aca="false">SUMIFS(C25:C684,A25:A684, J31, D25:D684, "bien de conso.")</f>
        <v>463.87</v>
      </c>
      <c r="N31" s="78" t="n">
        <f aca="false">COUNTIFS(A25:A684, J31, D25:D684, "nourriture")</f>
        <v>6</v>
      </c>
      <c r="O31" s="79" t="n">
        <f aca="false">SUMIFS(C25:C684,A25:A684, J31, D25:D684, "nourriture")</f>
        <v>299.15</v>
      </c>
      <c r="P31" s="80" t="n">
        <f aca="false">SUM(M31,O31)</f>
        <v>763.02</v>
      </c>
    </row>
    <row r="32" customFormat="false" ht="15.75" hidden="false" customHeight="true" outlineLevel="0" collapsed="false">
      <c r="A32" s="62" t="n">
        <v>5</v>
      </c>
      <c r="B32" s="63" t="n">
        <v>7.28</v>
      </c>
      <c r="C32" s="66" t="n">
        <v>62.93</v>
      </c>
      <c r="D32" s="62" t="s">
        <v>8</v>
      </c>
      <c r="F32" s="65" t="n">
        <v>25</v>
      </c>
      <c r="G32" s="67" t="n">
        <f aca="false">COUNTIF($A$2:$A$661, F32)</f>
        <v>23</v>
      </c>
      <c r="H32" s="65"/>
      <c r="I32" s="73" t="n">
        <v>25</v>
      </c>
      <c r="J32" s="74" t="n">
        <v>5</v>
      </c>
      <c r="K32" s="74" t="n">
        <f aca="false">COUNTIF($A$2:$A$661, J32)</f>
        <v>13</v>
      </c>
      <c r="L32" s="74" t="n">
        <f aca="false">COUNTIFS(A26:A685, J32, D26:D685, "bien de conso.")</f>
        <v>3</v>
      </c>
      <c r="M32" s="75" t="n">
        <f aca="false">SUMIFS(C26:C685,A26:A685, J32, D26:D685, "bien de conso.")</f>
        <v>163.14</v>
      </c>
      <c r="N32" s="74" t="n">
        <f aca="false">COUNTIFS(A26:A685, J32, D26:D685, "nourriture")</f>
        <v>10</v>
      </c>
      <c r="O32" s="75" t="n">
        <f aca="false">SUMIFS(C26:C685,A26:A685, J32, D26:D685, "nourriture")</f>
        <v>580.52</v>
      </c>
      <c r="P32" s="76" t="n">
        <f aca="false">SUM(M32,O32)</f>
        <v>743.66</v>
      </c>
    </row>
    <row r="33" customFormat="false" ht="15.75" hidden="false" customHeight="true" outlineLevel="0" collapsed="false">
      <c r="A33" s="62" t="n">
        <v>1</v>
      </c>
      <c r="B33" s="63" t="n">
        <v>4.84</v>
      </c>
      <c r="C33" s="66" t="n">
        <v>37.46</v>
      </c>
      <c r="D33" s="62" t="s">
        <v>8</v>
      </c>
      <c r="F33" s="65" t="n">
        <v>26</v>
      </c>
      <c r="G33" s="67" t="n">
        <f aca="false">COUNTIF($A$2:$A$661, F33)</f>
        <v>21</v>
      </c>
      <c r="H33" s="65"/>
      <c r="I33" s="77" t="n">
        <v>26</v>
      </c>
      <c r="J33" s="78" t="n">
        <v>2</v>
      </c>
      <c r="K33" s="78" t="n">
        <f aca="false">COUNTIF($A$2:$A$661, J33)</f>
        <v>12</v>
      </c>
      <c r="L33" s="78" t="n">
        <f aca="false">COUNTIFS(A27:A686, J33, D27:D686, "bien de conso.")</f>
        <v>2</v>
      </c>
      <c r="M33" s="79" t="n">
        <f aca="false">SUMIFS(C27:C686,A27:A686, J33, D27:D686, "bien de conso.")</f>
        <v>142.66</v>
      </c>
      <c r="N33" s="78" t="n">
        <f aca="false">COUNTIFS(A27:A686, J33, D27:D686, "nourriture")</f>
        <v>10</v>
      </c>
      <c r="O33" s="79" t="n">
        <f aca="false">SUMIFS(C27:C686,A27:A686, J33, D27:D686, "nourriture")</f>
        <v>728.97</v>
      </c>
      <c r="P33" s="80" t="n">
        <f aca="false">SUM(M33,O33)</f>
        <v>871.63</v>
      </c>
    </row>
    <row r="34" customFormat="false" ht="15.75" hidden="false" customHeight="true" outlineLevel="0" collapsed="false">
      <c r="A34" s="62" t="n">
        <v>28</v>
      </c>
      <c r="B34" s="63" t="n">
        <v>7.6</v>
      </c>
      <c r="C34" s="66" t="n">
        <v>73.75</v>
      </c>
      <c r="D34" s="62" t="s">
        <v>8</v>
      </c>
      <c r="F34" s="65" t="n">
        <v>27</v>
      </c>
      <c r="G34" s="67" t="n">
        <f aca="false">COUNTIF($A$2:$A$661, F34)</f>
        <v>17</v>
      </c>
      <c r="H34" s="65"/>
      <c r="I34" s="73" t="n">
        <v>27</v>
      </c>
      <c r="J34" s="74" t="n">
        <v>13</v>
      </c>
      <c r="K34" s="74" t="n">
        <f aca="false">COUNTIF($A$2:$A$661, J34)</f>
        <v>11</v>
      </c>
      <c r="L34" s="74" t="n">
        <f aca="false">COUNTIFS(A28:A687, J34, D28:D687, "bien de conso.")</f>
        <v>4</v>
      </c>
      <c r="M34" s="75" t="n">
        <f aca="false">SUMIFS(C28:C687,A28:A687, J34, D28:D687, "bien de conso.")</f>
        <v>284.57</v>
      </c>
      <c r="N34" s="74" t="n">
        <f aca="false">COUNTIFS(A28:A687, J34, D28:D687, "nourriture")</f>
        <v>7</v>
      </c>
      <c r="O34" s="75" t="n">
        <f aca="false">SUMIFS(C28:C687,A28:A687, J34, D28:D687, "nourriture")</f>
        <v>311.83</v>
      </c>
      <c r="P34" s="76" t="n">
        <f aca="false">SUM(M34,O34)</f>
        <v>596.4</v>
      </c>
    </row>
    <row r="35" customFormat="false" ht="15.75" hidden="false" customHeight="true" outlineLevel="0" collapsed="false">
      <c r="A35" s="62" t="n">
        <v>35</v>
      </c>
      <c r="B35" s="63" t="n">
        <v>9.07</v>
      </c>
      <c r="C35" s="66" t="n">
        <v>67.15</v>
      </c>
      <c r="D35" s="62" t="s">
        <v>8</v>
      </c>
      <c r="F35" s="65" t="n">
        <v>28</v>
      </c>
      <c r="G35" s="67" t="n">
        <f aca="false">COUNTIF($A$2:$A$661, F35)</f>
        <v>17</v>
      </c>
      <c r="H35" s="65"/>
      <c r="I35" s="77" t="n">
        <v>28</v>
      </c>
      <c r="J35" s="78" t="n">
        <v>32</v>
      </c>
      <c r="K35" s="78" t="n">
        <f aca="false">COUNTIF($A$2:$A$661, J35)</f>
        <v>11</v>
      </c>
      <c r="L35" s="78" t="n">
        <f aca="false">COUNTIFS(A29:A688, J35, D29:D688, "bien de conso.")</f>
        <v>0</v>
      </c>
      <c r="M35" s="79" t="n">
        <f aca="false">SUMIFS(C29:C688,A29:A688, J35, D29:D688, "bien de conso.")</f>
        <v>0</v>
      </c>
      <c r="N35" s="78" t="n">
        <f aca="false">COUNTIFS(A29:A688, J35, D29:D688, "nourriture")</f>
        <v>11</v>
      </c>
      <c r="O35" s="79" t="n">
        <f aca="false">SUMIFS(C29:C688,A29:A688, J35, D29:D688, "nourriture")</f>
        <v>742.91</v>
      </c>
      <c r="P35" s="80" t="n">
        <f aca="false">SUM(M35,O35)</f>
        <v>742.91</v>
      </c>
    </row>
    <row r="36" customFormat="false" ht="15.75" hidden="false" customHeight="true" outlineLevel="0" collapsed="false">
      <c r="A36" s="62" t="n">
        <v>62</v>
      </c>
      <c r="B36" s="63" t="n">
        <v>9.91</v>
      </c>
      <c r="C36" s="66" t="n">
        <v>77.4</v>
      </c>
      <c r="D36" s="62" t="s">
        <v>8</v>
      </c>
      <c r="F36" s="65" t="n">
        <v>29</v>
      </c>
      <c r="G36" s="67" t="n">
        <f aca="false">COUNTIF($A$2:$A$661, F36)</f>
        <v>16</v>
      </c>
      <c r="H36" s="65"/>
      <c r="I36" s="73" t="n">
        <v>29</v>
      </c>
      <c r="J36" s="74" t="n">
        <v>41</v>
      </c>
      <c r="K36" s="74" t="n">
        <f aca="false">COUNTIF($A$2:$A$661, J36)</f>
        <v>11</v>
      </c>
      <c r="L36" s="74" t="n">
        <f aca="false">COUNTIFS(A30:A689, J36, D30:D689, "bien de conso.")</f>
        <v>3</v>
      </c>
      <c r="M36" s="75" t="n">
        <f aca="false">SUMIFS(C30:C689,A30:A689, J36, D30:D689, "bien de conso.")</f>
        <v>162.99</v>
      </c>
      <c r="N36" s="74" t="n">
        <f aca="false">COUNTIFS(A30:A689, J36, D30:D689, "nourriture")</f>
        <v>7</v>
      </c>
      <c r="O36" s="75" t="n">
        <f aca="false">SUMIFS(C30:C689,A30:A689, J36, D30:D689, "nourriture")</f>
        <v>547.75</v>
      </c>
      <c r="P36" s="76" t="n">
        <f aca="false">SUM(M36,O36)</f>
        <v>710.74</v>
      </c>
    </row>
    <row r="37" customFormat="false" ht="15.75" hidden="false" customHeight="true" outlineLevel="0" collapsed="false">
      <c r="A37" s="62" t="n">
        <v>31</v>
      </c>
      <c r="B37" s="63" t="n">
        <v>6.38</v>
      </c>
      <c r="C37" s="66" t="n">
        <v>63.51</v>
      </c>
      <c r="D37" s="62" t="s">
        <v>8</v>
      </c>
      <c r="F37" s="65" t="n">
        <v>30</v>
      </c>
      <c r="G37" s="67" t="n">
        <f aca="false">COUNTIF($A$2:$A$661, F37)</f>
        <v>18</v>
      </c>
      <c r="H37" s="65"/>
      <c r="I37" s="77" t="n">
        <v>30</v>
      </c>
      <c r="J37" s="78" t="n">
        <v>6</v>
      </c>
      <c r="K37" s="78" t="n">
        <f aca="false">COUNTIF($A$2:$A$661, J37)</f>
        <v>10</v>
      </c>
      <c r="L37" s="78" t="n">
        <f aca="false">COUNTIFS(A31:A690, J37, D31:D690, "bien de conso.")</f>
        <v>6</v>
      </c>
      <c r="M37" s="79" t="n">
        <f aca="false">SUMIFS(C31:C690,A31:A690, J37, D31:D690, "bien de conso.")</f>
        <v>338.63</v>
      </c>
      <c r="N37" s="78" t="n">
        <f aca="false">COUNTIFS(A31:A690, J37, D31:D690, "nourriture")</f>
        <v>4</v>
      </c>
      <c r="O37" s="79" t="n">
        <f aca="false">SUMIFS(C31:C690,A31:A690, J37, D31:D690, "nourriture")</f>
        <v>248.14</v>
      </c>
      <c r="P37" s="80" t="n">
        <f aca="false">SUM(M37,O37)</f>
        <v>586.77</v>
      </c>
    </row>
    <row r="38" customFormat="false" ht="15.75" hidden="false" customHeight="true" outlineLevel="0" collapsed="false">
      <c r="A38" s="62" t="n">
        <v>3</v>
      </c>
      <c r="B38" s="63" t="n">
        <v>5.63</v>
      </c>
      <c r="C38" s="66" t="n">
        <v>51.14</v>
      </c>
      <c r="D38" s="62" t="s">
        <v>8</v>
      </c>
      <c r="F38" s="65" t="n">
        <v>31</v>
      </c>
      <c r="G38" s="67" t="n">
        <f aca="false">COUNTIF($A$2:$A$661, F38)</f>
        <v>19</v>
      </c>
      <c r="H38" s="65"/>
      <c r="I38" s="73" t="n">
        <v>31</v>
      </c>
      <c r="J38" s="74" t="n">
        <v>21</v>
      </c>
      <c r="K38" s="74" t="n">
        <f aca="false">COUNTIF($A$2:$A$661, J38)</f>
        <v>10</v>
      </c>
      <c r="L38" s="74" t="n">
        <f aca="false">COUNTIFS(A32:A691, J38, D32:D691, "bien de conso.")</f>
        <v>0</v>
      </c>
      <c r="M38" s="75" t="n">
        <f aca="false">SUMIFS(C32:C691,A32:A691, J38, D32:D691, "bien de conso.")</f>
        <v>0</v>
      </c>
      <c r="N38" s="74" t="n">
        <f aca="false">COUNTIFS(A32:A691, J38, D32:D691, "nourriture")</f>
        <v>10</v>
      </c>
      <c r="O38" s="75" t="n">
        <f aca="false">SUMIFS(C32:C691,A32:A691, J38, D32:D691, "nourriture")</f>
        <v>573.63</v>
      </c>
      <c r="P38" s="76" t="n">
        <f aca="false">SUM(M38,O38)</f>
        <v>573.63</v>
      </c>
    </row>
    <row r="39" customFormat="false" ht="15.75" hidden="false" customHeight="true" outlineLevel="0" collapsed="false">
      <c r="A39" s="62" t="n">
        <v>53</v>
      </c>
      <c r="B39" s="63" t="n">
        <v>8.72</v>
      </c>
      <c r="C39" s="66" t="n">
        <v>70.61</v>
      </c>
      <c r="D39" s="62" t="s">
        <v>8</v>
      </c>
      <c r="F39" s="65" t="n">
        <v>32</v>
      </c>
      <c r="G39" s="67" t="n">
        <f aca="false">COUNTIF($A$2:$A$661, F39)</f>
        <v>11</v>
      </c>
      <c r="H39" s="65"/>
      <c r="I39" s="77" t="n">
        <v>32</v>
      </c>
      <c r="J39" s="78" t="n">
        <v>42</v>
      </c>
      <c r="K39" s="78" t="n">
        <f aca="false">COUNTIF($A$2:$A$661, J39)</f>
        <v>10</v>
      </c>
      <c r="L39" s="78" t="n">
        <f aca="false">COUNTIFS(A33:A692, J39, D33:D692, "bien de conso.")</f>
        <v>3</v>
      </c>
      <c r="M39" s="79" t="n">
        <f aca="false">SUMIFS(C33:C692,A33:A692, J39, D33:D692, "bien de conso.")</f>
        <v>211.31</v>
      </c>
      <c r="N39" s="78" t="n">
        <f aca="false">COUNTIFS(A33:A692, J39, D33:D692, "nourriture")</f>
        <v>7</v>
      </c>
      <c r="O39" s="79" t="n">
        <f aca="false">SUMIFS(C33:C692,A33:A692, J39, D33:D692, "nourriture")</f>
        <v>411.21</v>
      </c>
      <c r="P39" s="80" t="n">
        <f aca="false">SUM(M39,O39)</f>
        <v>622.52</v>
      </c>
    </row>
    <row r="40" customFormat="false" ht="15.75" hidden="false" customHeight="true" outlineLevel="0" collapsed="false">
      <c r="A40" s="62" t="n">
        <v>31</v>
      </c>
      <c r="B40" s="63" t="n">
        <v>4.55</v>
      </c>
      <c r="C40" s="66" t="n">
        <v>44.23</v>
      </c>
      <c r="D40" s="62" t="s">
        <v>8</v>
      </c>
      <c r="F40" s="65" t="n">
        <v>33</v>
      </c>
      <c r="G40" s="67" t="n">
        <f aca="false">COUNTIF($A$2:$A$661, F40)</f>
        <v>8</v>
      </c>
      <c r="H40" s="65"/>
      <c r="I40" s="73" t="n">
        <v>33</v>
      </c>
      <c r="J40" s="74" t="n">
        <v>43</v>
      </c>
      <c r="K40" s="74" t="n">
        <f aca="false">COUNTIF($A$2:$A$661, J40)</f>
        <v>10</v>
      </c>
      <c r="L40" s="74" t="n">
        <f aca="false">COUNTIFS(A34:A693, J40, D34:D693, "bien de conso.")</f>
        <v>4</v>
      </c>
      <c r="M40" s="75" t="n">
        <f aca="false">SUMIFS(C34:C693,A34:A693, J40, D34:D693, "bien de conso.")</f>
        <v>217.9</v>
      </c>
      <c r="N40" s="74" t="n">
        <f aca="false">COUNTIFS(A34:A693, J40, D34:D693, "nourriture")</f>
        <v>5</v>
      </c>
      <c r="O40" s="75" t="n">
        <f aca="false">SUMIFS(C34:C693,A34:A693, J40, D34:D693, "nourriture")</f>
        <v>229.98</v>
      </c>
      <c r="P40" s="76" t="n">
        <f aca="false">SUM(M40,O40)</f>
        <v>447.88</v>
      </c>
    </row>
    <row r="41" customFormat="false" ht="15.75" hidden="false" customHeight="true" outlineLevel="0" collapsed="false">
      <c r="A41" s="62" t="n">
        <v>31</v>
      </c>
      <c r="B41" s="63" t="n">
        <v>6.55</v>
      </c>
      <c r="C41" s="66" t="n">
        <v>50.83</v>
      </c>
      <c r="D41" s="62" t="s">
        <v>8</v>
      </c>
      <c r="F41" s="65" t="n">
        <v>34</v>
      </c>
      <c r="G41" s="67" t="n">
        <f aca="false">COUNTIF($A$2:$A$661, F41)</f>
        <v>14</v>
      </c>
      <c r="H41" s="65"/>
      <c r="I41" s="77" t="n">
        <v>34</v>
      </c>
      <c r="J41" s="78" t="n">
        <v>1</v>
      </c>
      <c r="K41" s="78" t="n">
        <f aca="false">COUNTIF($A$2:$A$661, J41)</f>
        <v>9</v>
      </c>
      <c r="L41" s="78" t="n">
        <f aca="false">COUNTIFS(A35:A694, J41, D35:D694, "bien de conso.")</f>
        <v>2</v>
      </c>
      <c r="M41" s="79" t="n">
        <f aca="false">SUMIFS(C35:C694,A35:A694, J41, D35:D694, "bien de conso.")</f>
        <v>117.05</v>
      </c>
      <c r="N41" s="78" t="n">
        <f aca="false">COUNTIFS(A35:A694, J41, D35:D694, "nourriture")</f>
        <v>5</v>
      </c>
      <c r="O41" s="79" t="n">
        <f aca="false">SUMIFS(C35:C694,A35:A694, J41, D35:D694, "nourriture")</f>
        <v>233.41</v>
      </c>
      <c r="P41" s="80" t="n">
        <f aca="false">SUM(M41,O41)</f>
        <v>350.46</v>
      </c>
    </row>
    <row r="42" customFormat="false" ht="15.75" hidden="false" customHeight="true" outlineLevel="0" collapsed="false">
      <c r="A42" s="62" t="n">
        <v>22</v>
      </c>
      <c r="B42" s="63" t="n">
        <v>4.15</v>
      </c>
      <c r="C42" s="66" t="n">
        <v>45.83</v>
      </c>
      <c r="D42" s="62" t="s">
        <v>8</v>
      </c>
      <c r="F42" s="65" t="n">
        <v>35</v>
      </c>
      <c r="G42" s="67" t="n">
        <f aca="false">COUNTIF($A$2:$A$661, F42)</f>
        <v>16</v>
      </c>
      <c r="H42" s="65"/>
      <c r="I42" s="73" t="n">
        <v>35</v>
      </c>
      <c r="J42" s="74" t="n">
        <v>3</v>
      </c>
      <c r="K42" s="74" t="n">
        <f aca="false">COUNTIF($A$2:$A$661, J42)</f>
        <v>9</v>
      </c>
      <c r="L42" s="74" t="n">
        <f aca="false">COUNTIFS(A36:A695, J42, D36:D695, "bien de conso.")</f>
        <v>4</v>
      </c>
      <c r="M42" s="75" t="n">
        <f aca="false">SUMIFS(C36:C695,A36:A695, J42, D36:D695, "bien de conso.")</f>
        <v>309.29</v>
      </c>
      <c r="N42" s="74" t="n">
        <f aca="false">COUNTIFS(A36:A695, J42, D36:D695, "nourriture")</f>
        <v>4</v>
      </c>
      <c r="O42" s="75" t="n">
        <f aca="false">SUMIFS(C36:C695,A36:A695, J42, D36:D695, "nourriture")</f>
        <v>275.13</v>
      </c>
      <c r="P42" s="76" t="n">
        <f aca="false">SUM(M42,O42)</f>
        <v>584.42</v>
      </c>
    </row>
    <row r="43" customFormat="false" ht="15.75" hidden="false" customHeight="true" outlineLevel="0" collapsed="false">
      <c r="A43" s="62" t="n">
        <v>20</v>
      </c>
      <c r="B43" s="63" t="n">
        <v>6.41</v>
      </c>
      <c r="C43" s="66" t="n">
        <v>45.66</v>
      </c>
      <c r="D43" s="62" t="s">
        <v>8</v>
      </c>
      <c r="F43" s="65" t="n">
        <v>36</v>
      </c>
      <c r="G43" s="67" t="n">
        <f aca="false">COUNTIF($A$2:$A$661, F43)</f>
        <v>19</v>
      </c>
      <c r="H43" s="65"/>
      <c r="I43" s="77" t="n">
        <v>36</v>
      </c>
      <c r="J43" s="78" t="n">
        <v>8</v>
      </c>
      <c r="K43" s="78" t="n">
        <f aca="false">COUNTIF($A$2:$A$661, J43)</f>
        <v>9</v>
      </c>
      <c r="L43" s="78" t="n">
        <f aca="false">COUNTIFS(A37:A696, J43, D37:D696, "bien de conso.")</f>
        <v>1</v>
      </c>
      <c r="M43" s="79" t="n">
        <f aca="false">SUMIFS(C37:C696,A37:A696, J43, D37:D696, "bien de conso.")</f>
        <v>89.98</v>
      </c>
      <c r="N43" s="78" t="n">
        <f aca="false">COUNTIFS(A37:A696, J43, D37:D696, "nourriture")</f>
        <v>7</v>
      </c>
      <c r="O43" s="79" t="n">
        <f aca="false">SUMIFS(C37:C696,A37:A696, J43, D37:D696, "nourriture")</f>
        <v>373.76</v>
      </c>
      <c r="P43" s="80" t="n">
        <f aca="false">SUM(M43,O43)</f>
        <v>463.74</v>
      </c>
    </row>
    <row r="44" customFormat="false" ht="15.75" hidden="false" customHeight="true" outlineLevel="0" collapsed="false">
      <c r="A44" s="62" t="n">
        <v>42</v>
      </c>
      <c r="B44" s="63" t="n">
        <v>7.52</v>
      </c>
      <c r="C44" s="66" t="n">
        <v>54.57</v>
      </c>
      <c r="D44" s="62" t="s">
        <v>8</v>
      </c>
      <c r="F44" s="65" t="n">
        <v>37</v>
      </c>
      <c r="G44" s="67" t="n">
        <f aca="false">COUNTIF($A$2:$A$661, F44)</f>
        <v>8</v>
      </c>
      <c r="H44" s="65"/>
      <c r="I44" s="73" t="n">
        <v>37</v>
      </c>
      <c r="J44" s="74" t="n">
        <v>39</v>
      </c>
      <c r="K44" s="74" t="n">
        <f aca="false">COUNTIF($A$2:$A$661, J44)</f>
        <v>9</v>
      </c>
      <c r="L44" s="74" t="n">
        <f aca="false">COUNTIFS(A38:A697, J44, D38:D697, "bien de conso.")</f>
        <v>2</v>
      </c>
      <c r="M44" s="75" t="n">
        <f aca="false">SUMIFS(C38:C697,A38:A697, J44, D38:D697, "bien de conso.")</f>
        <v>109.09</v>
      </c>
      <c r="N44" s="74" t="n">
        <f aca="false">COUNTIFS(A38:A697, J44, D38:D697, "nourriture")</f>
        <v>5</v>
      </c>
      <c r="O44" s="75" t="n">
        <f aca="false">SUMIFS(C38:C697,A38:A697, J44, D38:D697, "nourriture")</f>
        <v>311.79</v>
      </c>
      <c r="P44" s="76" t="n">
        <f aca="false">SUM(M44,O44)</f>
        <v>420.88</v>
      </c>
    </row>
    <row r="45" customFormat="false" ht="15.75" hidden="false" customHeight="true" outlineLevel="0" collapsed="false">
      <c r="A45" s="62" t="n">
        <v>16</v>
      </c>
      <c r="B45" s="63" t="n">
        <v>5.91</v>
      </c>
      <c r="C45" s="66" t="n">
        <v>56.36</v>
      </c>
      <c r="D45" s="62" t="s">
        <v>8</v>
      </c>
      <c r="F45" s="65" t="n">
        <v>38</v>
      </c>
      <c r="G45" s="67" t="n">
        <f aca="false">COUNTIF($A$2:$A$661, F45)</f>
        <v>19</v>
      </c>
      <c r="H45" s="65"/>
      <c r="I45" s="77" t="n">
        <v>38</v>
      </c>
      <c r="J45" s="78" t="n">
        <v>48</v>
      </c>
      <c r="K45" s="78" t="n">
        <f aca="false">COUNTIF($A$2:$A$661, J45)</f>
        <v>9</v>
      </c>
      <c r="L45" s="78" t="n">
        <f aca="false">COUNTIFS(A39:A698, J45, D39:D698, "bien de conso.")</f>
        <v>2</v>
      </c>
      <c r="M45" s="79" t="n">
        <f aca="false">SUMIFS(C39:C698,A39:A698, J45, D39:D698, "bien de conso.")</f>
        <v>142.59</v>
      </c>
      <c r="N45" s="78" t="n">
        <f aca="false">COUNTIFS(A39:A698, J45, D39:D698, "nourriture")</f>
        <v>7</v>
      </c>
      <c r="O45" s="79" t="n">
        <f aca="false">SUMIFS(C39:C698,A39:A698, J45, D39:D698, "nourriture")</f>
        <v>352.4</v>
      </c>
      <c r="P45" s="80" t="n">
        <f aca="false">SUM(M45,O45)</f>
        <v>494.99</v>
      </c>
    </row>
    <row r="46" customFormat="false" ht="15.75" hidden="false" customHeight="true" outlineLevel="0" collapsed="false">
      <c r="A46" s="62" t="n">
        <v>20</v>
      </c>
      <c r="B46" s="63" t="n">
        <v>8.31</v>
      </c>
      <c r="C46" s="66" t="n">
        <v>64.02</v>
      </c>
      <c r="D46" s="62" t="s">
        <v>8</v>
      </c>
      <c r="F46" s="65" t="n">
        <v>39</v>
      </c>
      <c r="G46" s="67" t="n">
        <f aca="false">COUNTIF($A$2:$A$661, F46)</f>
        <v>9</v>
      </c>
      <c r="H46" s="65"/>
      <c r="I46" s="73" t="n">
        <v>39</v>
      </c>
      <c r="J46" s="74" t="n">
        <v>12</v>
      </c>
      <c r="K46" s="74" t="n">
        <f aca="false">COUNTIF($A$2:$A$661, J46)</f>
        <v>8</v>
      </c>
      <c r="L46" s="74" t="n">
        <f aca="false">COUNTIFS(A40:A699, J46, D40:D699, "bien de conso.")</f>
        <v>2</v>
      </c>
      <c r="M46" s="75" t="n">
        <f aca="false">SUMIFS(C40:C699,A40:A699, J46, D40:D699, "bien de conso.")</f>
        <v>113.94</v>
      </c>
      <c r="N46" s="74" t="n">
        <f aca="false">COUNTIFS(A40:A699, J46, D40:D699, "nourriture")</f>
        <v>5</v>
      </c>
      <c r="O46" s="75" t="n">
        <f aca="false">SUMIFS(C40:C699,A40:A699, J46, D40:D699, "nourriture")</f>
        <v>260.83</v>
      </c>
      <c r="P46" s="76" t="n">
        <f aca="false">SUM(M46,O46)</f>
        <v>374.77</v>
      </c>
    </row>
    <row r="47" customFormat="false" ht="15.75" hidden="false" customHeight="true" outlineLevel="0" collapsed="false">
      <c r="A47" s="62" t="n">
        <v>15</v>
      </c>
      <c r="B47" s="63" t="n">
        <v>9.59</v>
      </c>
      <c r="C47" s="66" t="n">
        <v>71.15</v>
      </c>
      <c r="D47" s="62" t="s">
        <v>8</v>
      </c>
      <c r="F47" s="65" t="n">
        <v>40</v>
      </c>
      <c r="G47" s="67" t="n">
        <f aca="false">COUNTIF($A$2:$A$661, F47)</f>
        <v>8</v>
      </c>
      <c r="H47" s="65"/>
      <c r="I47" s="77" t="n">
        <v>40</v>
      </c>
      <c r="J47" s="78" t="n">
        <v>33</v>
      </c>
      <c r="K47" s="78" t="n">
        <f aca="false">COUNTIF($A$2:$A$661, J47)</f>
        <v>8</v>
      </c>
      <c r="L47" s="78" t="n">
        <f aca="false">COUNTIFS(A41:A700, J47, D41:D700, "bien de conso.")</f>
        <v>4</v>
      </c>
      <c r="M47" s="79" t="n">
        <f aca="false">SUMIFS(C41:C700,A41:A700, J47, D41:D700, "bien de conso.")</f>
        <v>246.23</v>
      </c>
      <c r="N47" s="78" t="n">
        <f aca="false">COUNTIFS(A41:A700, J47, D41:D700, "nourriture")</f>
        <v>4</v>
      </c>
      <c r="O47" s="79" t="n">
        <f aca="false">SUMIFS(C41:C700,A41:A700, J47, D41:D700, "nourriture")</f>
        <v>304.17</v>
      </c>
      <c r="P47" s="80" t="n">
        <f aca="false">SUM(M47,O47)</f>
        <v>550.4</v>
      </c>
    </row>
    <row r="48" customFormat="false" ht="15.75" hidden="false" customHeight="true" outlineLevel="0" collapsed="false">
      <c r="A48" s="62" t="n">
        <v>35</v>
      </c>
      <c r="B48" s="63" t="n">
        <v>4.88</v>
      </c>
      <c r="C48" s="66" t="n">
        <v>46.33</v>
      </c>
      <c r="D48" s="62" t="s">
        <v>8</v>
      </c>
      <c r="F48" s="65" t="n">
        <v>41</v>
      </c>
      <c r="G48" s="67" t="n">
        <f aca="false">COUNTIF($A$2:$A$661, F48)</f>
        <v>11</v>
      </c>
      <c r="H48" s="65"/>
      <c r="I48" s="73" t="n">
        <v>41</v>
      </c>
      <c r="J48" s="74" t="n">
        <v>37</v>
      </c>
      <c r="K48" s="74" t="n">
        <f aca="false">COUNTIF($A$2:$A$661, J48)</f>
        <v>8</v>
      </c>
      <c r="L48" s="74" t="n">
        <f aca="false">COUNTIFS(A42:A701, J48, D42:D701, "bien de conso.")</f>
        <v>2</v>
      </c>
      <c r="M48" s="75" t="n">
        <f aca="false">SUMIFS(C42:C701,A42:A701, J48, D42:D701, "bien de conso.")</f>
        <v>112.71</v>
      </c>
      <c r="N48" s="74" t="n">
        <f aca="false">COUNTIFS(A42:A701, J48, D42:D701, "nourriture")</f>
        <v>6</v>
      </c>
      <c r="O48" s="75" t="n">
        <f aca="false">SUMIFS(C42:C701,A42:A701, J48, D42:D701, "nourriture")</f>
        <v>338.86</v>
      </c>
      <c r="P48" s="76" t="n">
        <f aca="false">SUM(M48,O48)</f>
        <v>451.57</v>
      </c>
    </row>
    <row r="49" customFormat="false" ht="15.75" hidden="false" customHeight="true" outlineLevel="0" collapsed="false">
      <c r="A49" s="62" t="n">
        <v>28</v>
      </c>
      <c r="B49" s="63" t="n">
        <v>7.21</v>
      </c>
      <c r="C49" s="66" t="n">
        <v>52.08</v>
      </c>
      <c r="D49" s="62" t="s">
        <v>8</v>
      </c>
      <c r="F49" s="65" t="n">
        <v>42</v>
      </c>
      <c r="G49" s="67" t="n">
        <f aca="false">COUNTIF($A$2:$A$661, F49)</f>
        <v>10</v>
      </c>
      <c r="H49" s="65"/>
      <c r="I49" s="77" t="n">
        <v>42</v>
      </c>
      <c r="J49" s="78" t="n">
        <v>40</v>
      </c>
      <c r="K49" s="78" t="n">
        <f aca="false">COUNTIF($A$2:$A$661, J49)</f>
        <v>8</v>
      </c>
      <c r="L49" s="78" t="n">
        <f aca="false">COUNTIFS(A43:A702, J49, D43:D702, "bien de conso.")</f>
        <v>1</v>
      </c>
      <c r="M49" s="79" t="n">
        <f aca="false">SUMIFS(C43:C702,A43:A702, J49, D43:D702, "bien de conso.")</f>
        <v>24.63</v>
      </c>
      <c r="N49" s="78" t="n">
        <f aca="false">COUNTIFS(A43:A702, J49, D43:D702, "nourriture")</f>
        <v>6</v>
      </c>
      <c r="O49" s="79" t="n">
        <f aca="false">SUMIFS(C43:C702,A43:A702, J49, D43:D702, "nourriture")</f>
        <v>433.92</v>
      </c>
      <c r="P49" s="80" t="n">
        <f aca="false">SUM(M49,O49)</f>
        <v>458.55</v>
      </c>
    </row>
    <row r="50" customFormat="false" ht="15.75" hidden="false" customHeight="true" outlineLevel="0" collapsed="false">
      <c r="A50" s="62" t="n">
        <v>46</v>
      </c>
      <c r="B50" s="63" t="n">
        <v>9.93</v>
      </c>
      <c r="C50" s="66" t="n">
        <v>80.16</v>
      </c>
      <c r="D50" s="62" t="s">
        <v>8</v>
      </c>
      <c r="F50" s="65" t="n">
        <v>43</v>
      </c>
      <c r="G50" s="67" t="n">
        <f aca="false">COUNTIF($A$2:$A$661, F50)</f>
        <v>10</v>
      </c>
      <c r="H50" s="65"/>
      <c r="I50" s="73" t="n">
        <v>43</v>
      </c>
      <c r="J50" s="74" t="n">
        <v>51</v>
      </c>
      <c r="K50" s="74" t="n">
        <f aca="false">COUNTIF($A$2:$A$661, J50)</f>
        <v>8</v>
      </c>
      <c r="L50" s="74" t="n">
        <f aca="false">COUNTIFS(A44:A703, J50, D44:D703, "bien de conso.")</f>
        <v>2</v>
      </c>
      <c r="M50" s="75" t="n">
        <f aca="false">SUMIFS(C44:C703,A44:A703, J50, D44:D703, "bien de conso.")</f>
        <v>119.58</v>
      </c>
      <c r="N50" s="74" t="n">
        <f aca="false">COUNTIFS(A44:A703, J50, D44:D703, "nourriture")</f>
        <v>6</v>
      </c>
      <c r="O50" s="75" t="n">
        <f aca="false">SUMIFS(C44:C703,A44:A703, J50, D44:D703, "nourriture")</f>
        <v>392.12</v>
      </c>
      <c r="P50" s="76" t="n">
        <f aca="false">SUM(M50,O50)</f>
        <v>511.7</v>
      </c>
    </row>
    <row r="51" customFormat="false" ht="15.75" hidden="false" customHeight="true" outlineLevel="0" collapsed="false">
      <c r="A51" s="62" t="n">
        <v>31</v>
      </c>
      <c r="B51" s="63" t="n">
        <v>9.6</v>
      </c>
      <c r="C51" s="66" t="n">
        <v>79.55</v>
      </c>
      <c r="D51" s="62" t="s">
        <v>8</v>
      </c>
      <c r="F51" s="65" t="n">
        <v>44</v>
      </c>
      <c r="G51" s="67" t="n">
        <f aca="false">COUNTIF($A$2:$A$661, F51)</f>
        <v>6</v>
      </c>
      <c r="H51" s="65"/>
      <c r="I51" s="77" t="n">
        <v>44</v>
      </c>
      <c r="J51" s="78" t="n">
        <v>46</v>
      </c>
      <c r="K51" s="78" t="n">
        <f aca="false">COUNTIF($A$2:$A$661, J51)</f>
        <v>7</v>
      </c>
      <c r="L51" s="78" t="n">
        <f aca="false">COUNTIFS(A45:A704, J51, D45:D704, "bien de conso.")</f>
        <v>2</v>
      </c>
      <c r="M51" s="79" t="n">
        <f aca="false">SUMIFS(C45:C704,A45:A704, J51, D45:D704, "bien de conso.")</f>
        <v>142.08</v>
      </c>
      <c r="N51" s="78" t="n">
        <f aca="false">COUNTIFS(A45:A704, J51, D45:D704, "nourriture")</f>
        <v>5</v>
      </c>
      <c r="O51" s="79" t="n">
        <f aca="false">SUMIFS(C45:C704,A45:A704, J51, D45:D704, "nourriture")</f>
        <v>386.6</v>
      </c>
      <c r="P51" s="80" t="n">
        <f aca="false">SUM(M51,O51)</f>
        <v>528.68</v>
      </c>
    </row>
    <row r="52" customFormat="false" ht="15.75" hidden="false" customHeight="true" outlineLevel="0" collapsed="false">
      <c r="A52" s="62" t="n">
        <v>29</v>
      </c>
      <c r="B52" s="63" t="n">
        <v>9.02</v>
      </c>
      <c r="C52" s="66" t="n">
        <v>78.27</v>
      </c>
      <c r="D52" s="62" t="s">
        <v>8</v>
      </c>
      <c r="F52" s="65" t="n">
        <v>45</v>
      </c>
      <c r="G52" s="67" t="n">
        <f aca="false">COUNTIF($A$2:$A$661, F52)</f>
        <v>4</v>
      </c>
      <c r="H52" s="65"/>
      <c r="I52" s="73" t="n">
        <v>45</v>
      </c>
      <c r="J52" s="74" t="n">
        <v>47</v>
      </c>
      <c r="K52" s="74" t="n">
        <f aca="false">COUNTIF($A$2:$A$661, J52)</f>
        <v>7</v>
      </c>
      <c r="L52" s="74" t="n">
        <f aca="false">COUNTIFS(A46:A705, J52, D46:D705, "bien de conso.")</f>
        <v>5</v>
      </c>
      <c r="M52" s="75" t="n">
        <f aca="false">SUMIFS(C46:C705,A46:A705, J52, D46:D705, "bien de conso.")</f>
        <v>284.72</v>
      </c>
      <c r="N52" s="74" t="n">
        <f aca="false">COUNTIFS(A46:A705, J52, D46:D705, "nourriture")</f>
        <v>2</v>
      </c>
      <c r="O52" s="75" t="n">
        <f aca="false">SUMIFS(C46:C705,A46:A705, J52, D46:D705, "nourriture")</f>
        <v>95</v>
      </c>
      <c r="P52" s="76" t="n">
        <f aca="false">SUM(M52,O52)</f>
        <v>379.72</v>
      </c>
    </row>
    <row r="53" customFormat="false" ht="15.75" hidden="false" customHeight="true" outlineLevel="0" collapsed="false">
      <c r="A53" s="62" t="n">
        <v>28</v>
      </c>
      <c r="B53" s="63" t="n">
        <v>5.34</v>
      </c>
      <c r="C53" s="66" t="n">
        <v>51.69</v>
      </c>
      <c r="D53" s="62" t="s">
        <v>8</v>
      </c>
      <c r="F53" s="65" t="n">
        <v>46</v>
      </c>
      <c r="G53" s="67" t="n">
        <f aca="false">COUNTIF($A$2:$A$661, F53)</f>
        <v>7</v>
      </c>
      <c r="H53" s="65"/>
      <c r="I53" s="77" t="n">
        <v>46</v>
      </c>
      <c r="J53" s="78" t="n">
        <v>4</v>
      </c>
      <c r="K53" s="78" t="n">
        <f aca="false">COUNTIF($A$2:$A$661, J53)</f>
        <v>6</v>
      </c>
      <c r="L53" s="78" t="n">
        <f aca="false">COUNTIFS(A47:A706, J53, D47:D706, "bien de conso.")</f>
        <v>2</v>
      </c>
      <c r="M53" s="79" t="n">
        <f aca="false">SUMIFS(C47:C706,A47:A706, J53, D47:D706, "bien de conso.")</f>
        <v>138.84</v>
      </c>
      <c r="N53" s="78" t="n">
        <f aca="false">COUNTIFS(A47:A706, J53, D47:D706, "nourriture")</f>
        <v>4</v>
      </c>
      <c r="O53" s="79" t="n">
        <f aca="false">SUMIFS(C47:C706,A47:A706, J53, D47:D706, "nourriture")</f>
        <v>272.82</v>
      </c>
      <c r="P53" s="80" t="n">
        <f aca="false">SUM(M53,O53)</f>
        <v>411.66</v>
      </c>
    </row>
    <row r="54" customFormat="false" ht="15.75" hidden="false" customHeight="true" outlineLevel="0" collapsed="false">
      <c r="A54" s="62" t="n">
        <v>28</v>
      </c>
      <c r="B54" s="63" t="n">
        <v>9.49</v>
      </c>
      <c r="C54" s="66" t="n">
        <v>80.47</v>
      </c>
      <c r="D54" s="62" t="s">
        <v>8</v>
      </c>
      <c r="F54" s="65" t="n">
        <v>47</v>
      </c>
      <c r="G54" s="67" t="n">
        <f aca="false">COUNTIF($A$2:$A$661, F54)</f>
        <v>7</v>
      </c>
      <c r="H54" s="65"/>
      <c r="I54" s="73" t="n">
        <v>47</v>
      </c>
      <c r="J54" s="74" t="n">
        <v>44</v>
      </c>
      <c r="K54" s="74" t="n">
        <f aca="false">COUNTIF($A$2:$A$661, J54)</f>
        <v>6</v>
      </c>
      <c r="L54" s="74" t="n">
        <f aca="false">COUNTIFS(A48:A707, J54, D48:D707, "bien de conso.")</f>
        <v>2</v>
      </c>
      <c r="M54" s="75" t="n">
        <f aca="false">SUMIFS(C48:C707,A48:A707, J54, D48:D707, "bien de conso.")</f>
        <v>173.57</v>
      </c>
      <c r="N54" s="74" t="n">
        <f aca="false">COUNTIFS(A48:A707, J54, D48:D707, "nourriture")</f>
        <v>4</v>
      </c>
      <c r="O54" s="75" t="n">
        <f aca="false">SUMIFS(C48:C707,A48:A707, J54, D48:D707, "nourriture")</f>
        <v>293.58</v>
      </c>
      <c r="P54" s="76" t="n">
        <f aca="false">SUM(M54,O54)</f>
        <v>467.15</v>
      </c>
    </row>
    <row r="55" customFormat="false" ht="15.75" hidden="false" customHeight="true" outlineLevel="0" collapsed="false">
      <c r="A55" s="62" t="n">
        <v>25</v>
      </c>
      <c r="B55" s="63" t="n">
        <v>7.98</v>
      </c>
      <c r="C55" s="66" t="n">
        <v>66.28</v>
      </c>
      <c r="D55" s="62" t="s">
        <v>8</v>
      </c>
      <c r="F55" s="65" t="n">
        <v>48</v>
      </c>
      <c r="G55" s="67" t="n">
        <f aca="false">COUNTIF($A$2:$A$661, F55)</f>
        <v>9</v>
      </c>
      <c r="H55" s="65"/>
      <c r="I55" s="77" t="n">
        <v>48</v>
      </c>
      <c r="J55" s="78" t="n">
        <v>11</v>
      </c>
      <c r="K55" s="78" t="n">
        <f aca="false">COUNTIF($A$2:$A$661, J55)</f>
        <v>5</v>
      </c>
      <c r="L55" s="78" t="n">
        <f aca="false">COUNTIFS(A49:A708, J55, D49:D708, "bien de conso.")</f>
        <v>2</v>
      </c>
      <c r="M55" s="79" t="n">
        <f aca="false">SUMIFS(C49:C708,A49:A708, J55, D49:D708, "bien de conso.")</f>
        <v>103.13</v>
      </c>
      <c r="N55" s="78" t="n">
        <f aca="false">COUNTIFS(A49:A708, J55, D49:D708, "nourriture")</f>
        <v>2</v>
      </c>
      <c r="O55" s="79" t="n">
        <f aca="false">SUMIFS(C49:C708,A49:A708, J55, D49:D708, "nourriture")</f>
        <v>99.86</v>
      </c>
      <c r="P55" s="80" t="n">
        <f aca="false">SUM(M55,O55)</f>
        <v>202.99</v>
      </c>
    </row>
    <row r="56" customFormat="false" ht="15.75" hidden="false" customHeight="true" outlineLevel="0" collapsed="false">
      <c r="A56" s="62" t="n">
        <v>31</v>
      </c>
      <c r="B56" s="63" t="n">
        <v>7.33</v>
      </c>
      <c r="C56" s="66" t="n">
        <v>57</v>
      </c>
      <c r="D56" s="62" t="s">
        <v>8</v>
      </c>
      <c r="F56" s="65" t="n">
        <v>49</v>
      </c>
      <c r="G56" s="67" t="n">
        <f aca="false">COUNTIF($A$2:$A$661, F56)</f>
        <v>5</v>
      </c>
      <c r="H56" s="65"/>
      <c r="I56" s="73" t="n">
        <v>49</v>
      </c>
      <c r="J56" s="74" t="n">
        <v>49</v>
      </c>
      <c r="K56" s="74" t="n">
        <f aca="false">COUNTIF($A$2:$A$661, J56)</f>
        <v>5</v>
      </c>
      <c r="L56" s="74" t="n">
        <f aca="false">COUNTIFS(A50:A709, J56, D50:D709, "bien de conso.")</f>
        <v>1</v>
      </c>
      <c r="M56" s="75" t="n">
        <f aca="false">SUMIFS(C50:C709,A50:A709, J56, D50:D709, "bien de conso.")</f>
        <v>59.39</v>
      </c>
      <c r="N56" s="74" t="n">
        <f aca="false">COUNTIFS(A50:A709, J56, D50:D709, "nourriture")</f>
        <v>4</v>
      </c>
      <c r="O56" s="75" t="n">
        <f aca="false">SUMIFS(C50:C709,A50:A709, J56, D50:D709, "nourriture")</f>
        <v>207.24</v>
      </c>
      <c r="P56" s="76" t="n">
        <f aca="false">SUM(M56,O56)</f>
        <v>266.63</v>
      </c>
    </row>
    <row r="57" customFormat="false" ht="15.75" hidden="false" customHeight="true" outlineLevel="0" collapsed="false">
      <c r="A57" s="62" t="n">
        <v>19</v>
      </c>
      <c r="B57" s="63" t="n">
        <v>7.59</v>
      </c>
      <c r="C57" s="66" t="n">
        <v>58.01</v>
      </c>
      <c r="D57" s="62" t="s">
        <v>8</v>
      </c>
      <c r="F57" s="65" t="n">
        <v>50</v>
      </c>
      <c r="G57" s="67" t="n">
        <f aca="false">COUNTIF($A$2:$A$661, F57)</f>
        <v>5</v>
      </c>
      <c r="H57" s="65"/>
      <c r="I57" s="77" t="n">
        <v>50</v>
      </c>
      <c r="J57" s="78" t="n">
        <v>50</v>
      </c>
      <c r="K57" s="78" t="n">
        <f aca="false">COUNTIF($A$2:$A$661, J57)</f>
        <v>5</v>
      </c>
      <c r="L57" s="78" t="n">
        <f aca="false">COUNTIFS(A51:A710, J57, D51:D710, "bien de conso.")</f>
        <v>0</v>
      </c>
      <c r="M57" s="79" t="n">
        <f aca="false">SUMIFS(C51:C710,A51:A710, J57, D51:D710, "bien de conso.")</f>
        <v>0</v>
      </c>
      <c r="N57" s="78" t="n">
        <f aca="false">COUNTIFS(A51:A710, J57, D51:D710, "nourriture")</f>
        <v>5</v>
      </c>
      <c r="O57" s="79" t="n">
        <f aca="false">SUMIFS(C51:C710,A51:A710, J57, D51:D710, "nourriture")</f>
        <v>254.44</v>
      </c>
      <c r="P57" s="80" t="n">
        <f aca="false">SUM(M57,O57)</f>
        <v>254.44</v>
      </c>
    </row>
    <row r="58" customFormat="false" ht="15.75" hidden="false" customHeight="true" outlineLevel="0" collapsed="false">
      <c r="A58" s="62" t="n">
        <v>38</v>
      </c>
      <c r="B58" s="63" t="n">
        <v>6.82</v>
      </c>
      <c r="C58" s="66" t="n">
        <v>52.3</v>
      </c>
      <c r="D58" s="62" t="s">
        <v>8</v>
      </c>
      <c r="F58" s="65" t="n">
        <v>51</v>
      </c>
      <c r="G58" s="67" t="n">
        <f aca="false">COUNTIF($A$2:$A$661, F58)</f>
        <v>8</v>
      </c>
      <c r="H58" s="65"/>
      <c r="I58" s="73" t="n">
        <v>51</v>
      </c>
      <c r="J58" s="74" t="n">
        <v>45</v>
      </c>
      <c r="K58" s="74" t="n">
        <f aca="false">COUNTIF($A$2:$A$661, J58)</f>
        <v>4</v>
      </c>
      <c r="L58" s="74" t="n">
        <f aca="false">COUNTIFS(A52:A711, J58, D52:D711, "bien de conso.")</f>
        <v>1</v>
      </c>
      <c r="M58" s="75" t="n">
        <f aca="false">SUMIFS(C52:C711,A52:A711, J58, D52:D711, "bien de conso.")</f>
        <v>44.25</v>
      </c>
      <c r="N58" s="74" t="n">
        <f aca="false">COUNTIFS(A52:A711, J58, D52:D711, "nourriture")</f>
        <v>2</v>
      </c>
      <c r="O58" s="75" t="n">
        <f aca="false">SUMIFS(C52:C711,A52:A711, J58, D52:D711, "nourriture")</f>
        <v>132.71</v>
      </c>
      <c r="P58" s="76" t="n">
        <f aca="false">SUM(M58,O58)</f>
        <v>176.96</v>
      </c>
    </row>
    <row r="59" customFormat="false" ht="15.75" hidden="false" customHeight="true" outlineLevel="0" collapsed="false">
      <c r="A59" s="62" t="n">
        <v>67</v>
      </c>
      <c r="B59" s="63" t="n">
        <v>4.17</v>
      </c>
      <c r="C59" s="66" t="n">
        <v>38.17</v>
      </c>
      <c r="D59" s="62" t="s">
        <v>8</v>
      </c>
      <c r="F59" s="65" t="n">
        <v>52</v>
      </c>
      <c r="G59" s="67" t="n">
        <f aca="false">COUNTIF($A$2:$A$661, F59)</f>
        <v>4</v>
      </c>
      <c r="H59" s="65"/>
      <c r="I59" s="77" t="n">
        <v>52</v>
      </c>
      <c r="J59" s="78" t="n">
        <v>52</v>
      </c>
      <c r="K59" s="78" t="n">
        <f aca="false">COUNTIF($A$2:$A$661, J59)</f>
        <v>4</v>
      </c>
      <c r="L59" s="78" t="n">
        <f aca="false">COUNTIFS(A53:A712, J59, D53:D712, "bien de conso.")</f>
        <v>0</v>
      </c>
      <c r="M59" s="79" t="n">
        <f aca="false">SUMIFS(C53:C712,A53:A712, J59, D53:D712, "bien de conso.")</f>
        <v>0</v>
      </c>
      <c r="N59" s="78" t="n">
        <f aca="false">COUNTIFS(A53:A712, J59, D53:D712, "nourriture")</f>
        <v>3</v>
      </c>
      <c r="O59" s="79" t="n">
        <f aca="false">SUMIFS(C53:C712,A53:A712, J59, D53:D712, "nourriture")</f>
        <v>112.92</v>
      </c>
      <c r="P59" s="80" t="n">
        <f aca="false">SUM(M59,O59)</f>
        <v>112.92</v>
      </c>
    </row>
    <row r="60" customFormat="false" ht="15.75" hidden="false" customHeight="true" outlineLevel="0" collapsed="false">
      <c r="A60" s="62" t="n">
        <v>24</v>
      </c>
      <c r="B60" s="63" t="n">
        <v>4.48</v>
      </c>
      <c r="C60" s="66" t="n">
        <v>38.24</v>
      </c>
      <c r="D60" s="62" t="s">
        <v>8</v>
      </c>
      <c r="F60" s="65" t="n">
        <v>53</v>
      </c>
      <c r="G60" s="67" t="n">
        <f aca="false">COUNTIF($A$2:$A$661, F60)</f>
        <v>2</v>
      </c>
      <c r="H60" s="65"/>
      <c r="I60" s="73" t="n">
        <v>53</v>
      </c>
      <c r="J60" s="74" t="n">
        <v>57</v>
      </c>
      <c r="K60" s="74" t="n">
        <f aca="false">COUNTIF($A$2:$A$661, J60)</f>
        <v>4</v>
      </c>
      <c r="L60" s="74" t="n">
        <f aca="false">COUNTIFS(A54:A713, J60, D54:D713, "bien de conso.")</f>
        <v>0</v>
      </c>
      <c r="M60" s="75" t="n">
        <f aca="false">SUMIFS(C54:C713,A54:A713, J60, D54:D713, "bien de conso.")</f>
        <v>0</v>
      </c>
      <c r="N60" s="74" t="n">
        <f aca="false">COUNTIFS(A54:A713, J60, D54:D713, "nourriture")</f>
        <v>4</v>
      </c>
      <c r="O60" s="75" t="n">
        <f aca="false">SUMIFS(C54:C713,A54:A713, J60, D54:D713, "nourriture")</f>
        <v>196.31</v>
      </c>
      <c r="P60" s="76" t="n">
        <f aca="false">SUM(M60,O60)</f>
        <v>196.31</v>
      </c>
    </row>
    <row r="61" customFormat="false" ht="15.75" hidden="false" customHeight="true" outlineLevel="0" collapsed="false">
      <c r="A61" s="62" t="n">
        <v>18</v>
      </c>
      <c r="B61" s="63" t="n">
        <v>9.2</v>
      </c>
      <c r="C61" s="66" t="n">
        <v>76.39</v>
      </c>
      <c r="D61" s="62" t="s">
        <v>8</v>
      </c>
      <c r="F61" s="65" t="n">
        <v>54</v>
      </c>
      <c r="G61" s="67" t="n">
        <f aca="false">COUNTIF($A$2:$A$661, F61)</f>
        <v>3</v>
      </c>
      <c r="H61" s="65"/>
      <c r="I61" s="77" t="n">
        <v>54</v>
      </c>
      <c r="J61" s="78" t="n">
        <v>54</v>
      </c>
      <c r="K61" s="78" t="n">
        <f aca="false">COUNTIF($A$2:$A$661, J61)</f>
        <v>3</v>
      </c>
      <c r="L61" s="78" t="n">
        <f aca="false">COUNTIFS(A55:A714, J61, D55:D714, "bien de conso.")</f>
        <v>2</v>
      </c>
      <c r="M61" s="79" t="n">
        <f aca="false">SUMIFS(C55:C714,A55:A714, J61, D55:D714, "bien de conso.")</f>
        <v>85.91</v>
      </c>
      <c r="N61" s="78" t="n">
        <f aca="false">COUNTIFS(A55:A714, J61, D55:D714, "nourriture")</f>
        <v>1</v>
      </c>
      <c r="O61" s="79" t="n">
        <f aca="false">SUMIFS(C55:C714,A55:A714, J61, D55:D714, "nourriture")</f>
        <v>67.07</v>
      </c>
      <c r="P61" s="80" t="n">
        <f aca="false">SUM(M61,O61)</f>
        <v>152.98</v>
      </c>
    </row>
    <row r="62" customFormat="false" ht="15.75" hidden="false" customHeight="true" outlineLevel="0" collapsed="false">
      <c r="A62" s="62" t="n">
        <v>26</v>
      </c>
      <c r="B62" s="63" t="n">
        <v>8.14</v>
      </c>
      <c r="C62" s="66" t="n">
        <v>63.07</v>
      </c>
      <c r="D62" s="62" t="s">
        <v>8</v>
      </c>
      <c r="F62" s="65" t="n">
        <v>55</v>
      </c>
      <c r="G62" s="67" t="n">
        <f aca="false">COUNTIF($A$2:$A$661, F62)</f>
        <v>1</v>
      </c>
      <c r="H62" s="65"/>
      <c r="I62" s="73" t="n">
        <v>55</v>
      </c>
      <c r="J62" s="74" t="n">
        <v>53</v>
      </c>
      <c r="K62" s="74" t="n">
        <f aca="false">COUNTIF($A$2:$A$661, J62)</f>
        <v>2</v>
      </c>
      <c r="L62" s="74" t="n">
        <f aca="false">COUNTIFS(A56:A715, J62, D56:D715, "bien de conso.")</f>
        <v>0</v>
      </c>
      <c r="M62" s="75" t="n">
        <f aca="false">SUMIFS(C56:C715,A56:A715, J62, D56:D715, "bien de conso.")</f>
        <v>0</v>
      </c>
      <c r="N62" s="74" t="n">
        <f aca="false">COUNTIFS(A56:A715, J62, D56:D715, "nourriture")</f>
        <v>1</v>
      </c>
      <c r="O62" s="75" t="n">
        <f aca="false">SUMIFS(C56:C715,A56:A715, J62, D56:D715, "nourriture")</f>
        <v>99.96</v>
      </c>
      <c r="P62" s="76" t="n">
        <f aca="false">SUM(M62,O62)</f>
        <v>99.96</v>
      </c>
    </row>
    <row r="63" customFormat="false" ht="15.75" hidden="false" customHeight="true" outlineLevel="0" collapsed="false">
      <c r="A63" s="62" t="n">
        <v>49</v>
      </c>
      <c r="B63" s="63" t="n">
        <v>6.76</v>
      </c>
      <c r="C63" s="66" t="n">
        <v>59.39</v>
      </c>
      <c r="D63" s="62" t="s">
        <v>8</v>
      </c>
      <c r="F63" s="65" t="n">
        <v>56</v>
      </c>
      <c r="G63" s="67" t="n">
        <f aca="false">COUNTIF($A$2:$A$661, F63)</f>
        <v>1</v>
      </c>
      <c r="H63" s="65"/>
      <c r="I63" s="77" t="n">
        <v>56</v>
      </c>
      <c r="J63" s="78" t="n">
        <v>67</v>
      </c>
      <c r="K63" s="78" t="n">
        <f aca="false">COUNTIF($A$2:$A$661, J63)</f>
        <v>2</v>
      </c>
      <c r="L63" s="78" t="n">
        <f aca="false">COUNTIFS(A57:A716, J63, D57:D716, "bien de conso.")</f>
        <v>2</v>
      </c>
      <c r="M63" s="79" t="n">
        <f aca="false">SUMIFS(C57:C716,A57:A716, J63, D57:D716, "bien de conso.")</f>
        <v>108.39</v>
      </c>
      <c r="N63" s="78" t="n">
        <f aca="false">COUNTIFS(A57:A716, J63, D57:D716, "nourriture")</f>
        <v>0</v>
      </c>
      <c r="O63" s="79" t="n">
        <f aca="false">SUMIFS(C57:C716,A57:A716, J63, D57:D716, "nourriture")</f>
        <v>0</v>
      </c>
      <c r="P63" s="80" t="n">
        <f aca="false">SUM(M63,O63)</f>
        <v>108.39</v>
      </c>
    </row>
    <row r="64" customFormat="false" ht="15.75" hidden="false" customHeight="true" outlineLevel="0" collapsed="false">
      <c r="A64" s="62" t="n">
        <v>45</v>
      </c>
      <c r="B64" s="63" t="n">
        <v>4.59</v>
      </c>
      <c r="C64" s="66" t="n">
        <v>44.25</v>
      </c>
      <c r="D64" s="62" t="s">
        <v>8</v>
      </c>
      <c r="F64" s="65" t="n">
        <v>57</v>
      </c>
      <c r="G64" s="67" t="n">
        <f aca="false">COUNTIF($A$2:$A$661, F64)</f>
        <v>4</v>
      </c>
      <c r="H64" s="65"/>
      <c r="I64" s="73" t="n">
        <v>57</v>
      </c>
      <c r="J64" s="74" t="n">
        <v>55</v>
      </c>
      <c r="K64" s="74" t="n">
        <f aca="false">COUNTIF($A$2:$A$661, J64)</f>
        <v>1</v>
      </c>
      <c r="L64" s="74" t="n">
        <f aca="false">COUNTIFS(A58:A717, J64, D58:D717, "bien de conso.")</f>
        <v>0</v>
      </c>
      <c r="M64" s="75" t="n">
        <f aca="false">SUMIFS(C58:C717,A58:A717, J64, D58:D717, "bien de conso.")</f>
        <v>0</v>
      </c>
      <c r="N64" s="74" t="n">
        <f aca="false">COUNTIFS(A58:A717, J64, D58:D717, "nourriture")</f>
        <v>1</v>
      </c>
      <c r="O64" s="75" t="n">
        <f aca="false">SUMIFS(C58:C717,A58:A717, J64, D58:D717, "nourriture")</f>
        <v>72.78</v>
      </c>
      <c r="P64" s="76" t="n">
        <f aca="false">SUM(M64,O64)</f>
        <v>72.78</v>
      </c>
    </row>
    <row r="65" customFormat="false" ht="15.75" hidden="false" customHeight="true" outlineLevel="0" collapsed="false">
      <c r="A65" s="62" t="n">
        <v>37</v>
      </c>
      <c r="B65" s="63" t="n">
        <v>8.8</v>
      </c>
      <c r="C65" s="66" t="n">
        <v>68.76</v>
      </c>
      <c r="D65" s="62" t="s">
        <v>8</v>
      </c>
      <c r="F65" s="65" t="n">
        <v>58</v>
      </c>
      <c r="G65" s="67" t="n">
        <f aca="false">COUNTIF($A$2:$A$661, F65)</f>
        <v>1</v>
      </c>
      <c r="H65" s="65"/>
      <c r="I65" s="77" t="n">
        <v>58</v>
      </c>
      <c r="J65" s="78" t="n">
        <v>56</v>
      </c>
      <c r="K65" s="78" t="n">
        <f aca="false">COUNTIF($A$2:$A$661, J65)</f>
        <v>1</v>
      </c>
      <c r="L65" s="78" t="n">
        <f aca="false">COUNTIFS(A59:A718, J65, D59:D718, "bien de conso.")</f>
        <v>0</v>
      </c>
      <c r="M65" s="79" t="n">
        <f aca="false">SUMIFS(C59:C718,A59:A718, J65, D59:D718, "bien de conso.")</f>
        <v>0</v>
      </c>
      <c r="N65" s="78" t="n">
        <f aca="false">COUNTIFS(A59:A718, J65, D59:D718, "nourriture")</f>
        <v>1</v>
      </c>
      <c r="O65" s="79" t="n">
        <f aca="false">SUMIFS(C59:C718,A59:A718, J65, D59:D718, "nourriture")</f>
        <v>67.02</v>
      </c>
      <c r="P65" s="80" t="n">
        <f aca="false">SUM(M65,O65)</f>
        <v>67.02</v>
      </c>
    </row>
    <row r="66" customFormat="false" ht="15.75" hidden="false" customHeight="true" outlineLevel="0" collapsed="false">
      <c r="A66" s="62" t="n">
        <v>29</v>
      </c>
      <c r="B66" s="63" t="n">
        <v>6.59</v>
      </c>
      <c r="C66" s="66" t="n">
        <v>52.87</v>
      </c>
      <c r="D66" s="62" t="s">
        <v>8</v>
      </c>
      <c r="F66" s="65" t="n">
        <v>59</v>
      </c>
      <c r="G66" s="67" t="n">
        <f aca="false">COUNTIF($A$2:$A$661, F66)</f>
        <v>1</v>
      </c>
      <c r="H66" s="65"/>
      <c r="I66" s="73" t="n">
        <v>59</v>
      </c>
      <c r="J66" s="74" t="n">
        <v>58</v>
      </c>
      <c r="K66" s="74" t="n">
        <f aca="false">COUNTIF($A$2:$A$661, J66)</f>
        <v>1</v>
      </c>
      <c r="L66" s="74" t="n">
        <f aca="false">COUNTIFS(A60:A719, J66, D60:D719, "bien de conso.")</f>
        <v>0</v>
      </c>
      <c r="M66" s="75" t="n">
        <f aca="false">SUMIFS(C60:C719,A60:A719, J66, D60:D719, "bien de conso.")</f>
        <v>0</v>
      </c>
      <c r="N66" s="74" t="n">
        <f aca="false">COUNTIFS(A60:A719, J66, D60:D719, "nourriture")</f>
        <v>0</v>
      </c>
      <c r="O66" s="75" t="n">
        <f aca="false">SUMIFS(C60:C719,A60:A719, J66, D60:D719, "nourriture")</f>
        <v>0</v>
      </c>
      <c r="P66" s="76" t="n">
        <f aca="false">SUM(M66,O66)</f>
        <v>0</v>
      </c>
    </row>
    <row r="67" customFormat="false" ht="15.75" hidden="false" customHeight="true" outlineLevel="0" collapsed="false">
      <c r="A67" s="62" t="n">
        <v>38</v>
      </c>
      <c r="B67" s="63" t="n">
        <v>4.57</v>
      </c>
      <c r="C67" s="66" t="n">
        <v>40.86</v>
      </c>
      <c r="D67" s="62" t="s">
        <v>8</v>
      </c>
      <c r="F67" s="65" t="n">
        <v>60</v>
      </c>
      <c r="G67" s="67" t="n">
        <f aca="false">COUNTIF($A$2:$A$661, F67)</f>
        <v>1</v>
      </c>
      <c r="H67" s="65"/>
      <c r="I67" s="77" t="n">
        <v>60</v>
      </c>
      <c r="J67" s="78" t="n">
        <v>59</v>
      </c>
      <c r="K67" s="78" t="n">
        <f aca="false">COUNTIF($A$2:$A$661, J67)</f>
        <v>1</v>
      </c>
      <c r="L67" s="78" t="n">
        <f aca="false">COUNTIFS(A61:A720, J67, D61:D720, "bien de conso.")</f>
        <v>1</v>
      </c>
      <c r="M67" s="79" t="n">
        <f aca="false">SUMIFS(C61:C720,A61:A720, J67, D61:D720, "bien de conso.")</f>
        <v>42.33</v>
      </c>
      <c r="N67" s="78" t="n">
        <f aca="false">COUNTIFS(A61:A720, J67, D61:D720, "nourriture")</f>
        <v>0</v>
      </c>
      <c r="O67" s="79" t="n">
        <f aca="false">SUMIFS(C61:C720,A61:A720, J67, D61:D720, "nourriture")</f>
        <v>0</v>
      </c>
      <c r="P67" s="80" t="n">
        <f aca="false">SUM(M67,O67)</f>
        <v>42.33</v>
      </c>
    </row>
    <row r="68" customFormat="false" ht="15.75" hidden="false" customHeight="true" outlineLevel="0" collapsed="false">
      <c r="A68" s="62" t="n">
        <v>36</v>
      </c>
      <c r="B68" s="63" t="n">
        <v>6.97</v>
      </c>
      <c r="C68" s="66" t="n">
        <v>58.86</v>
      </c>
      <c r="D68" s="62" t="s">
        <v>8</v>
      </c>
      <c r="F68" s="65" t="n">
        <v>61</v>
      </c>
      <c r="G68" s="67" t="n">
        <f aca="false">COUNTIF($A$2:$A$661, F68)</f>
        <v>0</v>
      </c>
      <c r="H68" s="65"/>
      <c r="I68" s="73" t="n">
        <v>61</v>
      </c>
      <c r="J68" s="74" t="n">
        <v>60</v>
      </c>
      <c r="K68" s="74" t="n">
        <f aca="false">COUNTIF($A$2:$A$661, J68)</f>
        <v>1</v>
      </c>
      <c r="L68" s="74" t="n">
        <f aca="false">COUNTIFS(A62:A721, J68, D62:D721, "bien de conso.")</f>
        <v>1</v>
      </c>
      <c r="M68" s="75" t="n">
        <f aca="false">SUMIFS(C62:C721,A62:A721, J68, D62:D721, "bien de conso.")</f>
        <v>46.24</v>
      </c>
      <c r="N68" s="74" t="n">
        <f aca="false">COUNTIFS(A62:A721, J68, D62:D721, "nourriture")</f>
        <v>0</v>
      </c>
      <c r="O68" s="75" t="n">
        <f aca="false">SUMIFS(C62:C721,A62:A721, J68, D62:D721, "nourriture")</f>
        <v>0</v>
      </c>
      <c r="P68" s="76" t="n">
        <f aca="false">SUM(M68,O68)</f>
        <v>46.24</v>
      </c>
    </row>
    <row r="69" customFormat="false" ht="15.75" hidden="false" customHeight="true" outlineLevel="0" collapsed="false">
      <c r="A69" s="62" t="n">
        <v>34</v>
      </c>
      <c r="B69" s="63" t="n">
        <v>6.82</v>
      </c>
      <c r="C69" s="66" t="n">
        <v>55.6</v>
      </c>
      <c r="D69" s="62" t="s">
        <v>8</v>
      </c>
      <c r="F69" s="65" t="n">
        <v>62</v>
      </c>
      <c r="G69" s="67" t="n">
        <f aca="false">COUNTIF($A$2:$A$661, F69)</f>
        <v>1</v>
      </c>
      <c r="H69" s="65"/>
      <c r="I69" s="77" t="n">
        <v>62</v>
      </c>
      <c r="J69" s="78" t="n">
        <v>62</v>
      </c>
      <c r="K69" s="78" t="n">
        <f aca="false">COUNTIF($A$2:$A$661, J69)</f>
        <v>1</v>
      </c>
      <c r="L69" s="78" t="n">
        <f aca="false">COUNTIFS(A63:A722, J69, D63:D722, "bien de conso.")</f>
        <v>0</v>
      </c>
      <c r="M69" s="79" t="n">
        <f aca="false">SUMIFS(C63:C722,A63:A722, J69, D63:D722, "bien de conso.")</f>
        <v>0</v>
      </c>
      <c r="N69" s="78" t="n">
        <f aca="false">COUNTIFS(A63:A722, J69, D63:D722, "nourriture")</f>
        <v>0</v>
      </c>
      <c r="O69" s="79" t="n">
        <f aca="false">SUMIFS(C63:C722,A63:A722, J69, D63:D722, "nourriture")</f>
        <v>0</v>
      </c>
      <c r="P69" s="80" t="n">
        <f aca="false">SUM(M69,O69)</f>
        <v>0</v>
      </c>
    </row>
    <row r="70" customFormat="false" ht="15.75" hidden="false" customHeight="true" outlineLevel="0" collapsed="false">
      <c r="A70" s="62" t="n">
        <v>43</v>
      </c>
      <c r="B70" s="63" t="n">
        <v>5.56</v>
      </c>
      <c r="C70" s="66" t="n">
        <v>43.2</v>
      </c>
      <c r="D70" s="62" t="s">
        <v>8</v>
      </c>
      <c r="F70" s="65" t="n">
        <v>63</v>
      </c>
      <c r="G70" s="67" t="n">
        <f aca="false">COUNTIF($A$2:$A$661, F70)</f>
        <v>1</v>
      </c>
      <c r="H70" s="65"/>
      <c r="I70" s="73" t="n">
        <v>63</v>
      </c>
      <c r="J70" s="74" t="n">
        <v>63</v>
      </c>
      <c r="K70" s="74" t="n">
        <f aca="false">COUNTIF($A$2:$A$661, J70)</f>
        <v>1</v>
      </c>
      <c r="L70" s="74" t="n">
        <f aca="false">COUNTIFS(A64:A723, J70, D64:D723, "bien de conso.")</f>
        <v>1</v>
      </c>
      <c r="M70" s="75" t="n">
        <f aca="false">SUMIFS(C64:C723,A64:A723, J70, D64:D723, "bien de conso.")</f>
        <v>39.17</v>
      </c>
      <c r="N70" s="74" t="n">
        <f aca="false">COUNTIFS(A64:A723, J70, D64:D723, "nourriture")</f>
        <v>0</v>
      </c>
      <c r="O70" s="75" t="n">
        <f aca="false">SUMIFS(C64:C723,A64:A723, J70, D64:D723, "nourriture")</f>
        <v>0</v>
      </c>
      <c r="P70" s="76" t="n">
        <f aca="false">SUM(M70,O70)</f>
        <v>39.17</v>
      </c>
    </row>
    <row r="71" customFormat="false" ht="15.75" hidden="false" customHeight="true" outlineLevel="0" collapsed="false">
      <c r="A71" s="62" t="n">
        <v>28</v>
      </c>
      <c r="B71" s="63" t="n">
        <v>5.29</v>
      </c>
      <c r="C71" s="66" t="n">
        <v>46.77</v>
      </c>
      <c r="D71" s="62" t="s">
        <v>8</v>
      </c>
      <c r="F71" s="65" t="n">
        <v>64</v>
      </c>
      <c r="G71" s="67" t="n">
        <f aca="false">COUNTIF($A$2:$A$661, F71)</f>
        <v>1</v>
      </c>
      <c r="H71" s="65"/>
      <c r="I71" s="77" t="n">
        <v>64</v>
      </c>
      <c r="J71" s="78" t="n">
        <v>64</v>
      </c>
      <c r="K71" s="78" t="n">
        <f aca="false">COUNTIF($A$2:$A$661, J71)</f>
        <v>1</v>
      </c>
      <c r="L71" s="78" t="n">
        <f aca="false">COUNTIFS(A65:A724, J71, D65:D724, "bien de conso.")</f>
        <v>0</v>
      </c>
      <c r="M71" s="79" t="n">
        <f aca="false">SUMIFS(C65:C724,A65:A724, J71, D65:D724, "bien de conso.")</f>
        <v>0</v>
      </c>
      <c r="N71" s="78" t="n">
        <f aca="false">COUNTIFS(A65:A724, J71, D65:D724, "nourriture")</f>
        <v>1</v>
      </c>
      <c r="O71" s="79" t="n">
        <f aca="false">SUMIFS(C65:C724,A65:A724, J71, D65:D724, "nourriture")</f>
        <v>89.18</v>
      </c>
      <c r="P71" s="80" t="n">
        <f aca="false">SUM(M71,O71)</f>
        <v>89.18</v>
      </c>
    </row>
    <row r="72" customFormat="false" ht="15.75" hidden="false" customHeight="true" outlineLevel="0" collapsed="false">
      <c r="A72" s="62" t="n">
        <v>11</v>
      </c>
      <c r="B72" s="63" t="n">
        <v>6.64</v>
      </c>
      <c r="C72" s="66" t="n">
        <v>52.51</v>
      </c>
      <c r="D72" s="62" t="s">
        <v>8</v>
      </c>
      <c r="F72" s="65" t="n">
        <v>65</v>
      </c>
      <c r="G72" s="67" t="n">
        <f aca="false">COUNTIF($A$2:$A$661, F72)</f>
        <v>0</v>
      </c>
      <c r="H72" s="65"/>
      <c r="I72" s="73" t="n">
        <v>65</v>
      </c>
      <c r="J72" s="74" t="n">
        <v>68</v>
      </c>
      <c r="K72" s="74" t="n">
        <f aca="false">COUNTIF($A$2:$A$661, J72)</f>
        <v>1</v>
      </c>
      <c r="L72" s="74" t="n">
        <f aca="false">COUNTIFS(A66:A725, J72, D66:D725, "bien de conso.")</f>
        <v>0</v>
      </c>
      <c r="M72" s="75" t="n">
        <f aca="false">SUMIFS(C66:C725,A66:A725, J72, D66:D725, "bien de conso.")</f>
        <v>0</v>
      </c>
      <c r="N72" s="74" t="n">
        <f aca="false">COUNTIFS(A66:A725, J72, D66:D725, "nourriture")</f>
        <v>1</v>
      </c>
      <c r="O72" s="75" t="n">
        <f aca="false">SUMIFS(C66:C725,A66:A725, J72, D66:D725, "nourriture")</f>
        <v>23.31</v>
      </c>
      <c r="P72" s="76" t="n">
        <f aca="false">SUM(M72,O72)</f>
        <v>23.31</v>
      </c>
    </row>
    <row r="73" customFormat="false" ht="15.75" hidden="false" customHeight="true" outlineLevel="0" collapsed="false">
      <c r="A73" s="62" t="n">
        <v>7</v>
      </c>
      <c r="B73" s="63" t="n">
        <v>7.75</v>
      </c>
      <c r="C73" s="66" t="n">
        <v>54.28</v>
      </c>
      <c r="D73" s="62" t="s">
        <v>8</v>
      </c>
      <c r="F73" s="65" t="n">
        <v>66</v>
      </c>
      <c r="G73" s="67" t="n">
        <f aca="false">COUNTIF($A$2:$A$661, F73)</f>
        <v>0</v>
      </c>
      <c r="H73" s="65"/>
      <c r="I73" s="77" t="n">
        <v>66</v>
      </c>
      <c r="J73" s="78" t="n">
        <v>74</v>
      </c>
      <c r="K73" s="78" t="n">
        <f aca="false">COUNTIF($A$2:$A$661, J73)</f>
        <v>1</v>
      </c>
      <c r="L73" s="78" t="n">
        <f aca="false">COUNTIFS(A67:A726, J73, D67:D726, "bien de conso.")</f>
        <v>0</v>
      </c>
      <c r="M73" s="79" t="n">
        <f aca="false">SUMIFS(C67:C726,A67:A726, J73, D67:D726, "bien de conso.")</f>
        <v>0</v>
      </c>
      <c r="N73" s="78" t="n">
        <f aca="false">COUNTIFS(A67:A726, J73, D67:D726, "nourriture")</f>
        <v>1</v>
      </c>
      <c r="O73" s="79" t="n">
        <f aca="false">SUMIFS(C67:C726,A67:A726, J73, D67:D726, "nourriture")</f>
        <v>55.63</v>
      </c>
      <c r="P73" s="80" t="n">
        <f aca="false">SUM(M73,O73)</f>
        <v>55.63</v>
      </c>
    </row>
    <row r="74" customFormat="false" ht="15.75" hidden="false" customHeight="true" outlineLevel="0" collapsed="false">
      <c r="A74" s="62" t="n">
        <v>33</v>
      </c>
      <c r="B74" s="63" t="n">
        <v>6.99</v>
      </c>
      <c r="C74" s="66" t="n">
        <v>54.32</v>
      </c>
      <c r="D74" s="62" t="s">
        <v>8</v>
      </c>
      <c r="F74" s="65" t="n">
        <v>67</v>
      </c>
      <c r="G74" s="67" t="n">
        <f aca="false">COUNTIF($A$2:$A$661, F74)</f>
        <v>2</v>
      </c>
      <c r="H74" s="65"/>
      <c r="I74" s="73" t="n">
        <v>67</v>
      </c>
      <c r="J74" s="74" t="n">
        <v>61</v>
      </c>
      <c r="K74" s="74" t="n">
        <f aca="false">COUNTIF($A$2:$A$661, J74)</f>
        <v>0</v>
      </c>
      <c r="L74" s="74" t="n">
        <f aca="false">COUNTIFS(A68:A727, J74, D68:D727, "bien de conso.")</f>
        <v>0</v>
      </c>
      <c r="M74" s="75" t="n">
        <f aca="false">SUMIFS(C68:C727,A68:A727, J74, D68:D727, "bien de conso.")</f>
        <v>0</v>
      </c>
      <c r="N74" s="74" t="n">
        <f aca="false">COUNTIFS(A68:A727, J74, D68:D727, "nourriture")</f>
        <v>0</v>
      </c>
      <c r="O74" s="75" t="n">
        <f aca="false">SUMIFS(C68:C727,A68:A727, J74, D68:D727, "nourriture")</f>
        <v>0</v>
      </c>
      <c r="P74" s="76" t="n">
        <f aca="false">SUM(M74,O74)</f>
        <v>0</v>
      </c>
    </row>
    <row r="75" customFormat="false" ht="15.75" hidden="false" customHeight="true" outlineLevel="0" collapsed="false">
      <c r="A75" s="62" t="n">
        <v>20</v>
      </c>
      <c r="B75" s="63" t="n">
        <v>7.31</v>
      </c>
      <c r="C75" s="66" t="n">
        <v>57.02</v>
      </c>
      <c r="D75" s="62" t="s">
        <v>8</v>
      </c>
      <c r="F75" s="65" t="n">
        <v>68</v>
      </c>
      <c r="G75" s="67" t="n">
        <f aca="false">COUNTIF($A$2:$A$661, F75)</f>
        <v>1</v>
      </c>
      <c r="H75" s="65"/>
      <c r="I75" s="77" t="n">
        <v>68</v>
      </c>
      <c r="J75" s="78" t="n">
        <v>65</v>
      </c>
      <c r="K75" s="78" t="n">
        <f aca="false">COUNTIF($A$2:$A$661, J75)</f>
        <v>0</v>
      </c>
      <c r="L75" s="78" t="n">
        <f aca="false">COUNTIFS(A69:A728, J75, D69:D728, "bien de conso.")</f>
        <v>0</v>
      </c>
      <c r="M75" s="79" t="n">
        <f aca="false">SUMIFS(C69:C728,A69:A728, J75, D69:D728, "bien de conso.")</f>
        <v>0</v>
      </c>
      <c r="N75" s="78" t="n">
        <f aca="false">COUNTIFS(A69:A728, J75, D69:D728, "nourriture")</f>
        <v>0</v>
      </c>
      <c r="O75" s="79" t="n">
        <f aca="false">SUMIFS(C69:C728,A69:A728, J75, D69:D728, "nourriture")</f>
        <v>0</v>
      </c>
      <c r="P75" s="80" t="n">
        <f aca="false">SUM(M75,O75)</f>
        <v>0</v>
      </c>
    </row>
    <row r="76" customFormat="false" ht="15.75" hidden="false" customHeight="true" outlineLevel="0" collapsed="false">
      <c r="A76" s="62" t="n">
        <v>24</v>
      </c>
      <c r="B76" s="63" t="n">
        <v>8.6</v>
      </c>
      <c r="C76" s="66" t="n">
        <v>68.48</v>
      </c>
      <c r="D76" s="62" t="s">
        <v>8</v>
      </c>
      <c r="F76" s="65" t="n">
        <v>69</v>
      </c>
      <c r="G76" s="67" t="n">
        <f aca="false">COUNTIF($A$2:$A$661, F76)</f>
        <v>0</v>
      </c>
      <c r="H76" s="65"/>
      <c r="I76" s="73" t="n">
        <v>69</v>
      </c>
      <c r="J76" s="74" t="n">
        <v>66</v>
      </c>
      <c r="K76" s="74" t="n">
        <f aca="false">COUNTIF($A$2:$A$661, J76)</f>
        <v>0</v>
      </c>
      <c r="L76" s="74" t="n">
        <f aca="false">COUNTIFS(A70:A729, J76, D70:D729, "bien de conso.")</f>
        <v>0</v>
      </c>
      <c r="M76" s="75" t="n">
        <f aca="false">SUMIFS(C70:C729,A70:A729, J76, D70:D729, "bien de conso.")</f>
        <v>0</v>
      </c>
      <c r="N76" s="74" t="n">
        <f aca="false">COUNTIFS(A70:A729, J76, D70:D729, "nourriture")</f>
        <v>0</v>
      </c>
      <c r="O76" s="75" t="n">
        <f aca="false">SUMIFS(C70:C729,A70:A729, J76, D70:D729, "nourriture")</f>
        <v>0</v>
      </c>
      <c r="P76" s="76" t="n">
        <f aca="false">SUM(M76,O76)</f>
        <v>0</v>
      </c>
    </row>
    <row r="77" customFormat="false" ht="15.75" hidden="false" customHeight="true" outlineLevel="0" collapsed="false">
      <c r="A77" s="62" t="n">
        <v>30</v>
      </c>
      <c r="B77" s="63" t="n">
        <v>4.93</v>
      </c>
      <c r="C77" s="66" t="n">
        <v>43.97</v>
      </c>
      <c r="D77" s="62" t="s">
        <v>8</v>
      </c>
      <c r="F77" s="65" t="n">
        <v>70</v>
      </c>
      <c r="G77" s="67" t="n">
        <f aca="false">COUNTIF($A$2:$A$661, F77)</f>
        <v>0</v>
      </c>
      <c r="H77" s="65"/>
      <c r="I77" s="77" t="n">
        <v>70</v>
      </c>
      <c r="J77" s="78" t="n">
        <v>69</v>
      </c>
      <c r="K77" s="78" t="n">
        <f aca="false">COUNTIF($A$2:$A$661, J77)</f>
        <v>0</v>
      </c>
      <c r="L77" s="78" t="n">
        <f aca="false">COUNTIFS(A71:A730, J77, D71:D730, "bien de conso.")</f>
        <v>0</v>
      </c>
      <c r="M77" s="79" t="n">
        <f aca="false">SUMIFS(C71:C730,A71:A730, J77, D71:D730, "bien de conso.")</f>
        <v>0</v>
      </c>
      <c r="N77" s="78" t="n">
        <f aca="false">COUNTIFS(A71:A730, J77, D71:D730, "nourriture")</f>
        <v>0</v>
      </c>
      <c r="O77" s="79" t="n">
        <f aca="false">SUMIFS(C71:C730,A71:A730, J77, D71:D730, "nourriture")</f>
        <v>0</v>
      </c>
      <c r="P77" s="80" t="n">
        <f aca="false">SUM(M77,O77)</f>
        <v>0</v>
      </c>
    </row>
    <row r="78" customFormat="false" ht="15.75" hidden="false" customHeight="true" outlineLevel="0" collapsed="false">
      <c r="A78" s="62" t="n">
        <v>24</v>
      </c>
      <c r="B78" s="63" t="n">
        <v>4.05</v>
      </c>
      <c r="C78" s="66" t="n">
        <v>47.74</v>
      </c>
      <c r="D78" s="62" t="s">
        <v>8</v>
      </c>
      <c r="F78" s="65" t="n">
        <v>71</v>
      </c>
      <c r="G78" s="67" t="n">
        <f aca="false">COUNTIF($A$2:$A$661, F78)</f>
        <v>0</v>
      </c>
      <c r="H78" s="65"/>
      <c r="I78" s="73" t="n">
        <v>71</v>
      </c>
      <c r="J78" s="74" t="n">
        <v>70</v>
      </c>
      <c r="K78" s="74" t="n">
        <f aca="false">COUNTIF($A$2:$A$661, J78)</f>
        <v>0</v>
      </c>
      <c r="L78" s="74" t="n">
        <f aca="false">COUNTIFS(A72:A731, J78, D72:D731, "bien de conso.")</f>
        <v>0</v>
      </c>
      <c r="M78" s="75" t="n">
        <f aca="false">SUMIFS(C72:C731,A72:A731, J78, D72:D731, "bien de conso.")</f>
        <v>0</v>
      </c>
      <c r="N78" s="74" t="n">
        <f aca="false">COUNTIFS(A72:A731, J78, D72:D731, "nourriture")</f>
        <v>0</v>
      </c>
      <c r="O78" s="75" t="n">
        <f aca="false">SUMIFS(C72:C731,A72:A731, J78, D72:D731, "nourriture")</f>
        <v>0</v>
      </c>
      <c r="P78" s="76" t="n">
        <f aca="false">SUM(M78,O78)</f>
        <v>0</v>
      </c>
    </row>
    <row r="79" customFormat="false" ht="15.75" hidden="false" customHeight="true" outlineLevel="0" collapsed="false">
      <c r="A79" s="62" t="n">
        <v>6</v>
      </c>
      <c r="B79" s="63" t="n">
        <v>9.05</v>
      </c>
      <c r="C79" s="66" t="n">
        <v>77.84</v>
      </c>
      <c r="D79" s="62" t="s">
        <v>8</v>
      </c>
      <c r="F79" s="65" t="n">
        <v>72</v>
      </c>
      <c r="G79" s="67" t="n">
        <f aca="false">COUNTIF($A$2:$A$661, F79)</f>
        <v>0</v>
      </c>
      <c r="H79" s="65"/>
      <c r="I79" s="77" t="n">
        <v>72</v>
      </c>
      <c r="J79" s="78" t="n">
        <v>71</v>
      </c>
      <c r="K79" s="78" t="n">
        <f aca="false">COUNTIF($A$2:$A$661, J79)</f>
        <v>0</v>
      </c>
      <c r="L79" s="78" t="n">
        <f aca="false">COUNTIFS(A73:A732, J79, D73:D732, "bien de conso.")</f>
        <v>0</v>
      </c>
      <c r="M79" s="79" t="n">
        <f aca="false">SUMIFS(C73:C732,A73:A732, J79, D73:D732, "bien de conso.")</f>
        <v>0</v>
      </c>
      <c r="N79" s="78" t="n">
        <f aca="false">COUNTIFS(A73:A732, J79, D73:D732, "nourriture")</f>
        <v>0</v>
      </c>
      <c r="O79" s="79" t="n">
        <f aca="false">SUMIFS(C73:C732,A73:A732, J79, D73:D732, "nourriture")</f>
        <v>0</v>
      </c>
      <c r="P79" s="80" t="n">
        <f aca="false">SUM(M79,O79)</f>
        <v>0</v>
      </c>
    </row>
    <row r="80" customFormat="false" ht="15.75" hidden="false" customHeight="true" outlineLevel="0" collapsed="false">
      <c r="A80" s="62" t="n">
        <v>36</v>
      </c>
      <c r="B80" s="63" t="n">
        <v>5.77</v>
      </c>
      <c r="C80" s="66" t="n">
        <v>46.76</v>
      </c>
      <c r="D80" s="62" t="s">
        <v>8</v>
      </c>
      <c r="F80" s="65" t="n">
        <v>73</v>
      </c>
      <c r="G80" s="67" t="n">
        <f aca="false">COUNTIF($A$2:$A$661, F80)</f>
        <v>0</v>
      </c>
      <c r="H80" s="65"/>
      <c r="I80" s="73" t="n">
        <v>73</v>
      </c>
      <c r="J80" s="74" t="n">
        <v>72</v>
      </c>
      <c r="K80" s="74" t="n">
        <f aca="false">COUNTIF($A$2:$A$661, J80)</f>
        <v>0</v>
      </c>
      <c r="L80" s="74" t="n">
        <f aca="false">COUNTIFS(A74:A733, J80, D74:D733, "bien de conso.")</f>
        <v>0</v>
      </c>
      <c r="M80" s="75" t="n">
        <f aca="false">SUMIFS(C74:C733,A74:A733, J80, D74:D733, "bien de conso.")</f>
        <v>0</v>
      </c>
      <c r="N80" s="74" t="n">
        <f aca="false">COUNTIFS(A74:A733, J80, D74:D733, "nourriture")</f>
        <v>0</v>
      </c>
      <c r="O80" s="75" t="n">
        <f aca="false">SUMIFS(C74:C733,A74:A733, J80, D74:D733, "nourriture")</f>
        <v>0</v>
      </c>
      <c r="P80" s="76" t="n">
        <f aca="false">SUM(M80,O80)</f>
        <v>0</v>
      </c>
    </row>
    <row r="81" customFormat="false" ht="15.75" hidden="false" customHeight="true" outlineLevel="0" collapsed="false">
      <c r="A81" s="62" t="n">
        <v>26</v>
      </c>
      <c r="B81" s="63" t="n">
        <v>7.37</v>
      </c>
      <c r="C81" s="66" t="n">
        <v>69.61</v>
      </c>
      <c r="D81" s="62" t="s">
        <v>8</v>
      </c>
      <c r="F81" s="65" t="n">
        <v>74</v>
      </c>
      <c r="G81" s="67" t="n">
        <f aca="false">COUNTIF($A$2:$A$661, F81)</f>
        <v>1</v>
      </c>
      <c r="H81" s="65"/>
      <c r="I81" s="81" t="n">
        <v>74</v>
      </c>
      <c r="J81" s="82" t="n">
        <v>73</v>
      </c>
      <c r="K81" s="82" t="n">
        <f aca="false">COUNTIF($A$2:$A$661, J81)</f>
        <v>0</v>
      </c>
      <c r="L81" s="82" t="n">
        <f aca="false">COUNTIFS(A75:A734, J81, D75:D734, "bien de conso.")</f>
        <v>0</v>
      </c>
      <c r="M81" s="83" t="n">
        <f aca="false">SUMIFS(C75:C734,A75:A734, J81, D75:D734, "bien de conso.")</f>
        <v>0</v>
      </c>
      <c r="N81" s="82" t="n">
        <f aca="false">COUNTIFS(A75:A734, J81, D75:D734, "nourriture")</f>
        <v>0</v>
      </c>
      <c r="O81" s="83" t="n">
        <f aca="false">SUMIFS(C75:C734,A75:A734, J81, D75:D734, "nourriture")</f>
        <v>0</v>
      </c>
      <c r="P81" s="84" t="n">
        <f aca="false">SUM(M81,O81)</f>
        <v>0</v>
      </c>
    </row>
    <row r="82" customFormat="false" ht="15.75" hidden="false" customHeight="true" outlineLevel="0" collapsed="false">
      <c r="A82" s="62" t="n">
        <v>6</v>
      </c>
      <c r="B82" s="63" t="n">
        <v>6.34</v>
      </c>
      <c r="C82" s="66" t="n">
        <v>52.36</v>
      </c>
      <c r="D82" s="62" t="s">
        <v>8</v>
      </c>
    </row>
    <row r="83" customFormat="false" ht="15.75" hidden="false" customHeight="true" outlineLevel="0" collapsed="false">
      <c r="A83" s="62" t="n">
        <v>41</v>
      </c>
      <c r="B83" s="63" t="n">
        <v>5.14</v>
      </c>
      <c r="C83" s="66" t="n">
        <v>46.8</v>
      </c>
      <c r="D83" s="62" t="s">
        <v>8</v>
      </c>
    </row>
    <row r="84" customFormat="false" ht="15.75" hidden="false" customHeight="true" outlineLevel="0" collapsed="false">
      <c r="A84" s="62" t="n">
        <v>5</v>
      </c>
      <c r="B84" s="63" t="n">
        <v>5.43</v>
      </c>
      <c r="C84" s="66" t="n">
        <v>39.72</v>
      </c>
      <c r="D84" s="62" t="s">
        <v>8</v>
      </c>
    </row>
    <row r="85" customFormat="false" ht="15.75" hidden="false" customHeight="true" outlineLevel="0" collapsed="false">
      <c r="A85" s="62" t="n">
        <v>6</v>
      </c>
      <c r="B85" s="63" t="n">
        <v>8.98</v>
      </c>
      <c r="C85" s="66" t="n">
        <v>72.54</v>
      </c>
      <c r="D85" s="62" t="s">
        <v>8</v>
      </c>
    </row>
    <row r="86" customFormat="false" ht="15.75" hidden="false" customHeight="true" outlineLevel="0" collapsed="false">
      <c r="A86" s="62" t="n">
        <v>7</v>
      </c>
      <c r="B86" s="63" t="n">
        <v>8.96</v>
      </c>
      <c r="C86" s="66" t="n">
        <v>79.35</v>
      </c>
      <c r="D86" s="62" t="s">
        <v>8</v>
      </c>
    </row>
    <row r="87" customFormat="false" ht="15.75" hidden="false" customHeight="true" outlineLevel="0" collapsed="false">
      <c r="A87" s="62" t="n">
        <v>38</v>
      </c>
      <c r="B87" s="63" t="n">
        <v>7.34</v>
      </c>
      <c r="C87" s="66" t="n">
        <v>56.7</v>
      </c>
      <c r="D87" s="62" t="s">
        <v>8</v>
      </c>
    </row>
    <row r="88" customFormat="false" ht="15.75" hidden="false" customHeight="true" outlineLevel="0" collapsed="false">
      <c r="A88" s="62" t="n">
        <v>1</v>
      </c>
      <c r="B88" s="63" t="n">
        <v>6.81</v>
      </c>
      <c r="C88" s="66" t="n">
        <v>64.6</v>
      </c>
      <c r="D88" s="62" t="s">
        <v>8</v>
      </c>
    </row>
    <row r="89" customFormat="false" ht="15.75" hidden="false" customHeight="true" outlineLevel="0" collapsed="false">
      <c r="A89" s="62" t="n">
        <v>24</v>
      </c>
      <c r="B89" s="63" t="n">
        <v>7.9</v>
      </c>
      <c r="C89" s="66" t="n">
        <v>65.95</v>
      </c>
      <c r="D89" s="62" t="s">
        <v>8</v>
      </c>
    </row>
    <row r="90" customFormat="false" ht="15.75" hidden="false" customHeight="true" outlineLevel="0" collapsed="false">
      <c r="A90" s="62" t="n">
        <v>10</v>
      </c>
      <c r="B90" s="63" t="n">
        <v>6.69</v>
      </c>
      <c r="C90" s="66" t="n">
        <v>57.47</v>
      </c>
      <c r="D90" s="62" t="s">
        <v>8</v>
      </c>
    </row>
    <row r="91" customFormat="false" ht="15.75" hidden="false" customHeight="true" outlineLevel="0" collapsed="false">
      <c r="A91" s="62" t="n">
        <v>10</v>
      </c>
      <c r="B91" s="63" t="n">
        <v>7.21</v>
      </c>
      <c r="C91" s="66" t="n">
        <v>56.66</v>
      </c>
      <c r="D91" s="62" t="s">
        <v>8</v>
      </c>
    </row>
    <row r="92" customFormat="false" ht="15.75" hidden="false" customHeight="true" outlineLevel="0" collapsed="false">
      <c r="A92" s="62" t="n">
        <v>16</v>
      </c>
      <c r="B92" s="63" t="n">
        <v>9.15</v>
      </c>
      <c r="C92" s="66" t="n">
        <v>69.04</v>
      </c>
      <c r="D92" s="62" t="s">
        <v>8</v>
      </c>
    </row>
    <row r="93" customFormat="false" ht="15.75" hidden="false" customHeight="true" outlineLevel="0" collapsed="false">
      <c r="A93" s="62" t="n">
        <v>23</v>
      </c>
      <c r="B93" s="63" t="n">
        <v>4.17</v>
      </c>
      <c r="C93" s="66" t="n">
        <v>39.58</v>
      </c>
      <c r="D93" s="62" t="s">
        <v>8</v>
      </c>
    </row>
    <row r="94" customFormat="false" ht="15.75" hidden="false" customHeight="true" outlineLevel="0" collapsed="false">
      <c r="A94" s="62" t="n">
        <v>35</v>
      </c>
      <c r="B94" s="63" t="n">
        <v>7.37</v>
      </c>
      <c r="C94" s="66" t="n">
        <v>57.9</v>
      </c>
      <c r="D94" s="62" t="s">
        <v>8</v>
      </c>
    </row>
    <row r="95" customFormat="false" ht="15.75" hidden="false" customHeight="true" outlineLevel="0" collapsed="false">
      <c r="A95" s="62" t="n">
        <v>6</v>
      </c>
      <c r="B95" s="63" t="n">
        <v>7.52</v>
      </c>
      <c r="C95" s="66" t="n">
        <v>63.74</v>
      </c>
      <c r="D95" s="62" t="s">
        <v>8</v>
      </c>
    </row>
    <row r="96" customFormat="false" ht="15.75" hidden="false" customHeight="true" outlineLevel="0" collapsed="false">
      <c r="A96" s="62" t="n">
        <v>24</v>
      </c>
      <c r="B96" s="63" t="n">
        <v>4.66</v>
      </c>
      <c r="C96" s="66" t="n">
        <v>38.69</v>
      </c>
      <c r="D96" s="62" t="s">
        <v>8</v>
      </c>
    </row>
    <row r="97" customFormat="false" ht="15.75" hidden="false" customHeight="true" outlineLevel="0" collapsed="false">
      <c r="A97" s="62" t="n">
        <v>34</v>
      </c>
      <c r="B97" s="63" t="n">
        <v>8.64</v>
      </c>
      <c r="C97" s="66" t="n">
        <v>65.87</v>
      </c>
      <c r="D97" s="62" t="s">
        <v>8</v>
      </c>
    </row>
    <row r="98" customFormat="false" ht="15.75" hidden="false" customHeight="true" outlineLevel="0" collapsed="false">
      <c r="A98" s="62" t="n">
        <v>26</v>
      </c>
      <c r="B98" s="63" t="n">
        <v>7.31</v>
      </c>
      <c r="C98" s="66" t="n">
        <v>62.13</v>
      </c>
      <c r="D98" s="62" t="s">
        <v>8</v>
      </c>
    </row>
    <row r="99" customFormat="false" ht="15.75" hidden="false" customHeight="true" outlineLevel="0" collapsed="false">
      <c r="A99" s="62" t="n">
        <v>34</v>
      </c>
      <c r="B99" s="63" t="n">
        <v>5.38</v>
      </c>
      <c r="C99" s="66" t="n">
        <v>50.46</v>
      </c>
      <c r="D99" s="62" t="s">
        <v>8</v>
      </c>
    </row>
    <row r="100" customFormat="false" ht="15.75" hidden="false" customHeight="true" outlineLevel="0" collapsed="false">
      <c r="A100" s="62" t="n">
        <v>18</v>
      </c>
      <c r="B100" s="63" t="n">
        <v>8.1</v>
      </c>
      <c r="C100" s="66" t="n">
        <v>77.16</v>
      </c>
      <c r="D100" s="62" t="s">
        <v>8</v>
      </c>
    </row>
    <row r="101" customFormat="false" ht="15.75" hidden="false" customHeight="true" outlineLevel="0" collapsed="false">
      <c r="A101" s="62" t="n">
        <v>18</v>
      </c>
      <c r="B101" s="63" t="n">
        <v>6.06</v>
      </c>
      <c r="C101" s="66" t="n">
        <v>52.84</v>
      </c>
      <c r="D101" s="62" t="s">
        <v>8</v>
      </c>
    </row>
    <row r="102" customFormat="false" ht="15.75" hidden="false" customHeight="true" outlineLevel="0" collapsed="false">
      <c r="A102" s="62" t="n">
        <v>22</v>
      </c>
      <c r="B102" s="63" t="n">
        <v>9.87</v>
      </c>
      <c r="C102" s="66" t="n">
        <v>84.28</v>
      </c>
      <c r="D102" s="62" t="s">
        <v>8</v>
      </c>
    </row>
    <row r="103" customFormat="false" ht="15.75" hidden="false" customHeight="true" outlineLevel="0" collapsed="false">
      <c r="A103" s="62" t="n">
        <v>27</v>
      </c>
      <c r="B103" s="63" t="n">
        <v>4.7</v>
      </c>
      <c r="C103" s="66" t="n">
        <v>44.37</v>
      </c>
      <c r="D103" s="62" t="s">
        <v>8</v>
      </c>
    </row>
    <row r="104" customFormat="false" ht="15.75" hidden="false" customHeight="true" outlineLevel="0" collapsed="false">
      <c r="A104" s="62" t="n">
        <v>31</v>
      </c>
      <c r="B104" s="63" t="n">
        <v>5.87</v>
      </c>
      <c r="C104" s="66" t="n">
        <v>57.43</v>
      </c>
      <c r="D104" s="62" t="s">
        <v>8</v>
      </c>
    </row>
    <row r="105" customFormat="false" ht="15.75" hidden="false" customHeight="true" outlineLevel="0" collapsed="false">
      <c r="A105" s="62" t="n">
        <v>27</v>
      </c>
      <c r="B105" s="63" t="n">
        <v>4.84</v>
      </c>
      <c r="C105" s="66" t="n">
        <v>45.31</v>
      </c>
      <c r="D105" s="62" t="s">
        <v>8</v>
      </c>
    </row>
    <row r="106" customFormat="false" ht="15.75" hidden="false" customHeight="true" outlineLevel="0" collapsed="false">
      <c r="A106" s="62" t="n">
        <v>26</v>
      </c>
      <c r="B106" s="63" t="n">
        <v>8.63</v>
      </c>
      <c r="C106" s="66" t="n">
        <v>68.96</v>
      </c>
      <c r="D106" s="62" t="s">
        <v>8</v>
      </c>
    </row>
    <row r="107" customFormat="false" ht="15.75" hidden="false" customHeight="true" outlineLevel="0" collapsed="false">
      <c r="A107" s="62" t="n">
        <v>34</v>
      </c>
      <c r="B107" s="63" t="n">
        <v>9.94</v>
      </c>
      <c r="C107" s="66" t="n">
        <v>81.68</v>
      </c>
      <c r="D107" s="62" t="s">
        <v>8</v>
      </c>
    </row>
    <row r="108" customFormat="false" ht="15.75" hidden="false" customHeight="true" outlineLevel="0" collapsed="false">
      <c r="A108" s="62" t="n">
        <v>18</v>
      </c>
      <c r="B108" s="63" t="n">
        <v>9.99</v>
      </c>
      <c r="C108" s="66" t="n">
        <v>75.74</v>
      </c>
      <c r="D108" s="62" t="s">
        <v>8</v>
      </c>
    </row>
    <row r="109" customFormat="false" ht="15.75" hidden="false" customHeight="true" outlineLevel="0" collapsed="false">
      <c r="A109" s="62" t="n">
        <v>1</v>
      </c>
      <c r="B109" s="63" t="n">
        <v>5.45</v>
      </c>
      <c r="C109" s="66" t="n">
        <v>52.45</v>
      </c>
      <c r="D109" s="62" t="s">
        <v>8</v>
      </c>
    </row>
    <row r="110" customFormat="false" ht="15.75" hidden="false" customHeight="true" outlineLevel="0" collapsed="false">
      <c r="A110" s="62" t="n">
        <v>22</v>
      </c>
      <c r="B110" s="63" t="n">
        <v>8.72</v>
      </c>
      <c r="C110" s="66" t="n">
        <v>68.07</v>
      </c>
      <c r="D110" s="62" t="s">
        <v>8</v>
      </c>
    </row>
    <row r="111" customFormat="false" ht="15.75" hidden="false" customHeight="true" outlineLevel="0" collapsed="false">
      <c r="A111" s="62" t="n">
        <v>2</v>
      </c>
      <c r="B111" s="63" t="n">
        <v>4.64</v>
      </c>
      <c r="C111" s="66" t="n">
        <v>51.67</v>
      </c>
      <c r="D111" s="62" t="s">
        <v>8</v>
      </c>
    </row>
    <row r="112" customFormat="false" ht="15.75" hidden="false" customHeight="true" outlineLevel="0" collapsed="false">
      <c r="A112" s="62" t="n">
        <v>18</v>
      </c>
      <c r="B112" s="63" t="n">
        <v>5.66</v>
      </c>
      <c r="C112" s="66" t="n">
        <v>48.8</v>
      </c>
      <c r="D112" s="62" t="s">
        <v>8</v>
      </c>
    </row>
    <row r="113" customFormat="false" ht="15.75" hidden="false" customHeight="true" outlineLevel="0" collapsed="false">
      <c r="A113" s="62" t="n">
        <v>36</v>
      </c>
      <c r="B113" s="63" t="n">
        <v>9.03</v>
      </c>
      <c r="C113" s="66" t="n">
        <v>77.07</v>
      </c>
      <c r="D113" s="62" t="s">
        <v>8</v>
      </c>
    </row>
    <row r="114" customFormat="false" ht="15.75" hidden="false" customHeight="true" outlineLevel="0" collapsed="false">
      <c r="A114" s="62" t="n">
        <v>20</v>
      </c>
      <c r="B114" s="63" t="n">
        <v>5.93</v>
      </c>
      <c r="C114" s="66" t="n">
        <v>53.41</v>
      </c>
      <c r="D114" s="62" t="s">
        <v>8</v>
      </c>
    </row>
    <row r="115" customFormat="false" ht="15.75" hidden="false" customHeight="true" outlineLevel="0" collapsed="false">
      <c r="A115" s="62" t="n">
        <v>20</v>
      </c>
      <c r="B115" s="63" t="n">
        <v>9.03</v>
      </c>
      <c r="C115" s="66" t="n">
        <v>68.26</v>
      </c>
      <c r="D115" s="62" t="s">
        <v>8</v>
      </c>
    </row>
    <row r="116" customFormat="false" ht="15.75" hidden="false" customHeight="true" outlineLevel="0" collapsed="false">
      <c r="A116" s="62" t="n">
        <v>48</v>
      </c>
      <c r="B116" s="63" t="n">
        <v>9.58</v>
      </c>
      <c r="C116" s="66" t="n">
        <v>77.38</v>
      </c>
      <c r="D116" s="62" t="s">
        <v>8</v>
      </c>
    </row>
    <row r="117" customFormat="false" ht="15.75" hidden="false" customHeight="true" outlineLevel="0" collapsed="false">
      <c r="A117" s="62" t="n">
        <v>27</v>
      </c>
      <c r="B117" s="63" t="n">
        <v>6.96</v>
      </c>
      <c r="C117" s="66" t="n">
        <v>65.4</v>
      </c>
      <c r="D117" s="62" t="s">
        <v>8</v>
      </c>
    </row>
    <row r="118" customFormat="false" ht="15.75" hidden="false" customHeight="true" outlineLevel="0" collapsed="false">
      <c r="A118" s="62" t="n">
        <v>36</v>
      </c>
      <c r="B118" s="63" t="n">
        <v>8.49</v>
      </c>
      <c r="C118" s="66" t="n">
        <v>62.51</v>
      </c>
      <c r="D118" s="62" t="s">
        <v>8</v>
      </c>
    </row>
    <row r="119" customFormat="false" ht="15.75" hidden="false" customHeight="true" outlineLevel="0" collapsed="false">
      <c r="A119" s="62" t="n">
        <v>13</v>
      </c>
      <c r="B119" s="63" t="n">
        <v>7.11</v>
      </c>
      <c r="C119" s="66" t="n">
        <v>55.07</v>
      </c>
      <c r="D119" s="62" t="s">
        <v>8</v>
      </c>
    </row>
    <row r="120" customFormat="false" ht="15.75" hidden="false" customHeight="true" outlineLevel="0" collapsed="false">
      <c r="A120" s="62" t="n">
        <v>9</v>
      </c>
      <c r="B120" s="63" t="n">
        <v>5.67</v>
      </c>
      <c r="C120" s="66" t="n">
        <v>50.27</v>
      </c>
      <c r="D120" s="62" t="s">
        <v>8</v>
      </c>
    </row>
    <row r="121" customFormat="false" ht="15.75" hidden="false" customHeight="true" outlineLevel="0" collapsed="false">
      <c r="A121" s="62" t="n">
        <v>16</v>
      </c>
      <c r="B121" s="63" t="n">
        <v>4.34</v>
      </c>
      <c r="C121" s="66" t="n">
        <v>35.8</v>
      </c>
      <c r="D121" s="62" t="s">
        <v>8</v>
      </c>
    </row>
    <row r="122" customFormat="false" ht="15.75" hidden="false" customHeight="true" outlineLevel="0" collapsed="false">
      <c r="A122" s="62" t="n">
        <v>30</v>
      </c>
      <c r="B122" s="63" t="n">
        <v>6.72</v>
      </c>
      <c r="C122" s="66" t="n">
        <v>64.55</v>
      </c>
      <c r="D122" s="62" t="s">
        <v>8</v>
      </c>
    </row>
    <row r="123" customFormat="false" ht="15.75" hidden="false" customHeight="true" outlineLevel="0" collapsed="false">
      <c r="A123" s="62" t="n">
        <v>30</v>
      </c>
      <c r="B123" s="63" t="n">
        <v>9.18</v>
      </c>
      <c r="C123" s="66" t="n">
        <v>73.87</v>
      </c>
      <c r="D123" s="62" t="s">
        <v>8</v>
      </c>
    </row>
    <row r="124" customFormat="false" ht="15.75" hidden="false" customHeight="true" outlineLevel="0" collapsed="false">
      <c r="A124" s="62" t="n">
        <v>54</v>
      </c>
      <c r="B124" s="63" t="n">
        <v>4.32</v>
      </c>
      <c r="C124" s="66" t="n">
        <v>41.82</v>
      </c>
      <c r="D124" s="62" t="s">
        <v>8</v>
      </c>
    </row>
    <row r="125" customFormat="false" ht="15.75" hidden="false" customHeight="true" outlineLevel="0" collapsed="false">
      <c r="A125" s="62" t="n">
        <v>38</v>
      </c>
      <c r="B125" s="63" t="n">
        <v>4.28</v>
      </c>
      <c r="C125" s="66" t="n">
        <v>43.18</v>
      </c>
      <c r="D125" s="62" t="s">
        <v>8</v>
      </c>
    </row>
    <row r="126" customFormat="false" ht="15.75" hidden="false" customHeight="true" outlineLevel="0" collapsed="false">
      <c r="A126" s="62" t="n">
        <v>19</v>
      </c>
      <c r="B126" s="63" t="n">
        <v>5.1</v>
      </c>
      <c r="C126" s="66" t="n">
        <v>47.22</v>
      </c>
      <c r="D126" s="62" t="s">
        <v>8</v>
      </c>
    </row>
    <row r="127" customFormat="false" ht="15.75" hidden="false" customHeight="true" outlineLevel="0" collapsed="false">
      <c r="A127" s="62" t="n">
        <v>26</v>
      </c>
      <c r="B127" s="63" t="n">
        <v>6.23</v>
      </c>
      <c r="C127" s="66" t="n">
        <v>53.91</v>
      </c>
      <c r="D127" s="62" t="s">
        <v>8</v>
      </c>
    </row>
    <row r="128" customFormat="false" ht="15.75" hidden="false" customHeight="true" outlineLevel="0" collapsed="false">
      <c r="A128" s="62" t="n">
        <v>30</v>
      </c>
      <c r="B128" s="63" t="n">
        <v>6.45</v>
      </c>
      <c r="C128" s="66" t="n">
        <v>59.74</v>
      </c>
      <c r="D128" s="62" t="s">
        <v>8</v>
      </c>
    </row>
    <row r="129" customFormat="false" ht="15.75" hidden="false" customHeight="true" outlineLevel="0" collapsed="false">
      <c r="A129" s="62" t="n">
        <v>31</v>
      </c>
      <c r="B129" s="63" t="n">
        <v>9.73</v>
      </c>
      <c r="C129" s="66" t="n">
        <v>74.14</v>
      </c>
      <c r="D129" s="62" t="s">
        <v>8</v>
      </c>
    </row>
    <row r="130" customFormat="false" ht="15.75" hidden="false" customHeight="true" outlineLevel="0" collapsed="false">
      <c r="A130" s="62" t="n">
        <v>52</v>
      </c>
      <c r="B130" s="63" t="n">
        <v>4.14</v>
      </c>
      <c r="C130" s="66" t="n">
        <v>36.58</v>
      </c>
      <c r="D130" s="62" t="s">
        <v>9</v>
      </c>
    </row>
    <row r="131" customFormat="false" ht="15.75" hidden="false" customHeight="true" outlineLevel="0" collapsed="false">
      <c r="A131" s="62" t="n">
        <v>24</v>
      </c>
      <c r="B131" s="63" t="n">
        <v>9.28</v>
      </c>
      <c r="C131" s="66" t="n">
        <v>76.55</v>
      </c>
      <c r="D131" s="62" t="s">
        <v>8</v>
      </c>
    </row>
    <row r="132" customFormat="false" ht="15.75" hidden="false" customHeight="true" outlineLevel="0" collapsed="false">
      <c r="A132" s="62" t="n">
        <v>10</v>
      </c>
      <c r="B132" s="63" t="n">
        <v>6.76</v>
      </c>
      <c r="C132" s="66" t="n">
        <v>37.07</v>
      </c>
      <c r="D132" s="62" t="s">
        <v>8</v>
      </c>
    </row>
    <row r="133" customFormat="false" ht="15.75" hidden="false" customHeight="true" outlineLevel="0" collapsed="false">
      <c r="A133" s="62" t="n">
        <v>25</v>
      </c>
      <c r="B133" s="63" t="n">
        <v>6.16</v>
      </c>
      <c r="C133" s="66" t="n">
        <v>71.33</v>
      </c>
      <c r="D133" s="62" t="s">
        <v>8</v>
      </c>
    </row>
    <row r="134" customFormat="false" ht="15.75" hidden="false" customHeight="true" outlineLevel="0" collapsed="false">
      <c r="A134" s="62" t="n">
        <v>38</v>
      </c>
      <c r="B134" s="63" t="n">
        <v>8.22</v>
      </c>
      <c r="C134" s="66" t="n">
        <v>80.31</v>
      </c>
      <c r="D134" s="62" t="s">
        <v>8</v>
      </c>
    </row>
    <row r="135" customFormat="false" ht="15.75" hidden="false" customHeight="true" outlineLevel="0" collapsed="false">
      <c r="A135" s="62" t="n">
        <v>13</v>
      </c>
      <c r="B135" s="63" t="n">
        <v>6.16</v>
      </c>
      <c r="C135" s="66" t="n">
        <v>70.49</v>
      </c>
      <c r="D135" s="62" t="s">
        <v>8</v>
      </c>
    </row>
    <row r="136" customFormat="false" ht="15.75" hidden="false" customHeight="true" outlineLevel="0" collapsed="false">
      <c r="A136" s="62" t="n">
        <v>31</v>
      </c>
      <c r="B136" s="63" t="n">
        <v>7.22</v>
      </c>
      <c r="C136" s="66" t="n">
        <v>28.75</v>
      </c>
      <c r="D136" s="62" t="s">
        <v>8</v>
      </c>
    </row>
    <row r="137" customFormat="false" ht="15.75" hidden="false" customHeight="true" outlineLevel="0" collapsed="false">
      <c r="A137" s="62" t="n">
        <v>37</v>
      </c>
      <c r="B137" s="63" t="n">
        <v>8.6</v>
      </c>
      <c r="C137" s="66" t="n">
        <v>43.95</v>
      </c>
      <c r="D137" s="62" t="s">
        <v>8</v>
      </c>
    </row>
    <row r="138" customFormat="false" ht="15.75" hidden="false" customHeight="true" outlineLevel="0" collapsed="false">
      <c r="A138" s="62" t="n">
        <v>14</v>
      </c>
      <c r="B138" s="63" t="n">
        <v>7.95</v>
      </c>
      <c r="C138" s="66" t="n">
        <v>85.03</v>
      </c>
      <c r="D138" s="62" t="s">
        <v>8</v>
      </c>
    </row>
    <row r="139" customFormat="false" ht="15.75" hidden="false" customHeight="true" outlineLevel="0" collapsed="false">
      <c r="A139" s="62" t="n">
        <v>7</v>
      </c>
      <c r="B139" s="63" t="n">
        <v>4.44</v>
      </c>
      <c r="C139" s="66" t="n">
        <v>76.47</v>
      </c>
      <c r="D139" s="62" t="s">
        <v>8</v>
      </c>
    </row>
    <row r="140" customFormat="false" ht="15.75" hidden="false" customHeight="true" outlineLevel="0" collapsed="false">
      <c r="A140" s="62" t="n">
        <v>10</v>
      </c>
      <c r="B140" s="63" t="n">
        <v>9.75</v>
      </c>
      <c r="C140" s="66" t="n">
        <v>51.12</v>
      </c>
      <c r="D140" s="62" t="s">
        <v>8</v>
      </c>
    </row>
    <row r="141" customFormat="false" ht="15.75" hidden="false" customHeight="true" outlineLevel="0" collapsed="false">
      <c r="A141" s="62" t="n">
        <v>12</v>
      </c>
      <c r="B141" s="63" t="n">
        <v>9.07</v>
      </c>
      <c r="C141" s="66" t="n">
        <v>68.02</v>
      </c>
      <c r="D141" s="62" t="s">
        <v>8</v>
      </c>
    </row>
    <row r="142" customFormat="false" ht="15.75" hidden="false" customHeight="true" outlineLevel="0" collapsed="false">
      <c r="A142" s="62" t="n">
        <v>34</v>
      </c>
      <c r="B142" s="63" t="n">
        <v>4.93</v>
      </c>
      <c r="C142" s="66" t="n">
        <v>65.16</v>
      </c>
      <c r="D142" s="62" t="s">
        <v>8</v>
      </c>
    </row>
    <row r="143" customFormat="false" ht="15.75" hidden="false" customHeight="true" outlineLevel="0" collapsed="false">
      <c r="A143" s="62" t="n">
        <v>26</v>
      </c>
      <c r="B143" s="63" t="n">
        <v>4.76</v>
      </c>
      <c r="C143" s="66" t="n">
        <v>58</v>
      </c>
      <c r="D143" s="62" t="s">
        <v>8</v>
      </c>
    </row>
    <row r="144" customFormat="false" ht="15.75" hidden="false" customHeight="true" outlineLevel="0" collapsed="false">
      <c r="A144" s="62" t="n">
        <v>29</v>
      </c>
      <c r="B144" s="63" t="n">
        <v>5.96</v>
      </c>
      <c r="C144" s="66" t="n">
        <v>55.1</v>
      </c>
      <c r="D144" s="62" t="s">
        <v>8</v>
      </c>
    </row>
    <row r="145" customFormat="false" ht="15.75" hidden="false" customHeight="true" outlineLevel="0" collapsed="false">
      <c r="A145" s="62" t="n">
        <v>23</v>
      </c>
      <c r="B145" s="63" t="n">
        <v>4.54</v>
      </c>
      <c r="C145" s="66" t="n">
        <v>21.1</v>
      </c>
      <c r="D145" s="62" t="s">
        <v>8</v>
      </c>
    </row>
    <row r="146" customFormat="false" ht="15.75" hidden="false" customHeight="true" outlineLevel="0" collapsed="false">
      <c r="A146" s="62" t="n">
        <v>34</v>
      </c>
      <c r="B146" s="63" t="n">
        <v>6.12</v>
      </c>
      <c r="C146" s="66" t="n">
        <v>49.54</v>
      </c>
      <c r="D146" s="62" t="s">
        <v>8</v>
      </c>
    </row>
    <row r="147" customFormat="false" ht="15.75" hidden="false" customHeight="true" outlineLevel="0" collapsed="false">
      <c r="A147" s="62" t="n">
        <v>17</v>
      </c>
      <c r="B147" s="63" t="n">
        <v>5.35</v>
      </c>
      <c r="C147" s="66" t="n">
        <v>40.88</v>
      </c>
      <c r="D147" s="62" t="s">
        <v>8</v>
      </c>
    </row>
    <row r="148" customFormat="false" ht="15.75" hidden="false" customHeight="true" outlineLevel="0" collapsed="false">
      <c r="A148" s="62" t="n">
        <v>38</v>
      </c>
      <c r="B148" s="63" t="n">
        <v>8.39</v>
      </c>
      <c r="C148" s="66" t="n">
        <v>27.64</v>
      </c>
      <c r="D148" s="62" t="s">
        <v>8</v>
      </c>
    </row>
    <row r="149" customFormat="false" ht="15.75" hidden="false" customHeight="true" outlineLevel="0" collapsed="false">
      <c r="A149" s="62" t="n">
        <v>36</v>
      </c>
      <c r="B149" s="63" t="n">
        <v>9.35</v>
      </c>
      <c r="C149" s="66" t="n">
        <v>96.31</v>
      </c>
      <c r="D149" s="62" t="s">
        <v>8</v>
      </c>
    </row>
    <row r="150" customFormat="false" ht="15.75" hidden="false" customHeight="true" outlineLevel="0" collapsed="false">
      <c r="A150" s="62" t="n">
        <v>24</v>
      </c>
      <c r="B150" s="63" t="n">
        <v>5.06</v>
      </c>
      <c r="C150" s="66" t="n">
        <v>96.03</v>
      </c>
      <c r="D150" s="62" t="s">
        <v>8</v>
      </c>
    </row>
    <row r="151" customFormat="false" ht="15.75" hidden="false" customHeight="true" outlineLevel="0" collapsed="false">
      <c r="A151" s="62" t="n">
        <v>14</v>
      </c>
      <c r="B151" s="63" t="n">
        <v>7.18</v>
      </c>
      <c r="C151" s="66" t="n">
        <v>77.29</v>
      </c>
      <c r="D151" s="62" t="s">
        <v>8</v>
      </c>
    </row>
    <row r="152" customFormat="false" ht="15.75" hidden="false" customHeight="true" outlineLevel="0" collapsed="false">
      <c r="A152" s="62" t="n">
        <v>46</v>
      </c>
      <c r="B152" s="63" t="n">
        <v>7.22</v>
      </c>
      <c r="C152" s="66" t="n">
        <v>61.92</v>
      </c>
      <c r="D152" s="62" t="s">
        <v>8</v>
      </c>
    </row>
    <row r="153" customFormat="false" ht="15.75" hidden="false" customHeight="true" outlineLevel="0" collapsed="false">
      <c r="A153" s="62" t="n">
        <v>43</v>
      </c>
      <c r="B153" s="63" t="n">
        <v>9.27</v>
      </c>
      <c r="C153" s="66" t="n">
        <v>63.57</v>
      </c>
      <c r="D153" s="62" t="s">
        <v>8</v>
      </c>
    </row>
    <row r="154" customFormat="false" ht="15.75" hidden="false" customHeight="true" outlineLevel="0" collapsed="false">
      <c r="A154" s="62" t="n">
        <v>44</v>
      </c>
      <c r="B154" s="63" t="n">
        <v>9.96</v>
      </c>
      <c r="C154" s="66" t="n">
        <v>78.3</v>
      </c>
      <c r="D154" s="62" t="s">
        <v>8</v>
      </c>
    </row>
    <row r="155" customFormat="false" ht="15.75" hidden="false" customHeight="true" outlineLevel="0" collapsed="false">
      <c r="A155" s="62" t="n">
        <v>43</v>
      </c>
      <c r="B155" s="63" t="n">
        <v>4.68</v>
      </c>
      <c r="C155" s="66" t="n">
        <v>50.07</v>
      </c>
      <c r="D155" s="62" t="s">
        <v>8</v>
      </c>
    </row>
    <row r="156" customFormat="false" ht="15.75" hidden="false" customHeight="true" outlineLevel="0" collapsed="false">
      <c r="A156" s="62" t="n">
        <v>34</v>
      </c>
      <c r="B156" s="63" t="n">
        <v>5.15</v>
      </c>
      <c r="C156" s="66" t="n">
        <v>51.35</v>
      </c>
      <c r="D156" s="62" t="s">
        <v>8</v>
      </c>
    </row>
    <row r="157" customFormat="false" ht="15.75" hidden="false" customHeight="true" outlineLevel="0" collapsed="false">
      <c r="A157" s="62" t="n">
        <v>16</v>
      </c>
      <c r="B157" s="63" t="n">
        <v>9.65</v>
      </c>
      <c r="C157" s="66" t="n">
        <v>53.41</v>
      </c>
      <c r="D157" s="62" t="s">
        <v>8</v>
      </c>
    </row>
    <row r="158" customFormat="false" ht="15.75" hidden="false" customHeight="true" outlineLevel="0" collapsed="false">
      <c r="A158" s="62" t="n">
        <v>30</v>
      </c>
      <c r="B158" s="63" t="n">
        <v>8.61</v>
      </c>
      <c r="C158" s="66" t="n">
        <v>52.91</v>
      </c>
      <c r="D158" s="62" t="s">
        <v>8</v>
      </c>
    </row>
    <row r="159" customFormat="false" ht="15.75" hidden="false" customHeight="true" outlineLevel="0" collapsed="false">
      <c r="A159" s="62" t="n">
        <v>26</v>
      </c>
      <c r="B159" s="63" t="n">
        <v>6.21</v>
      </c>
      <c r="C159" s="66" t="n">
        <v>65.28</v>
      </c>
      <c r="D159" s="62" t="s">
        <v>8</v>
      </c>
    </row>
    <row r="160" customFormat="false" ht="15.75" hidden="false" customHeight="true" outlineLevel="0" collapsed="false">
      <c r="A160" s="62" t="n">
        <v>35</v>
      </c>
      <c r="B160" s="63" t="n">
        <v>8.38</v>
      </c>
      <c r="C160" s="66" t="n">
        <v>100.78</v>
      </c>
      <c r="D160" s="62" t="s">
        <v>8</v>
      </c>
    </row>
    <row r="161" customFormat="false" ht="15.75" hidden="false" customHeight="true" outlineLevel="0" collapsed="false">
      <c r="A161" s="62" t="n">
        <v>51</v>
      </c>
      <c r="B161" s="63" t="n">
        <v>6.86</v>
      </c>
      <c r="C161" s="66" t="n">
        <v>74.76</v>
      </c>
      <c r="D161" s="62" t="s">
        <v>8</v>
      </c>
    </row>
    <row r="162" customFormat="false" ht="15.75" hidden="false" customHeight="true" outlineLevel="0" collapsed="false">
      <c r="A162" s="62" t="n">
        <v>27</v>
      </c>
      <c r="B162" s="63" t="n">
        <v>7.7</v>
      </c>
      <c r="C162" s="66" t="n">
        <v>53.96</v>
      </c>
      <c r="D162" s="62" t="s">
        <v>8</v>
      </c>
    </row>
    <row r="163" customFormat="false" ht="15.75" hidden="false" customHeight="true" outlineLevel="0" collapsed="false">
      <c r="A163" s="62" t="n">
        <v>39</v>
      </c>
      <c r="B163" s="63" t="n">
        <v>8.02</v>
      </c>
      <c r="C163" s="66" t="n">
        <v>62.53</v>
      </c>
      <c r="D163" s="62" t="s">
        <v>8</v>
      </c>
    </row>
    <row r="164" customFormat="false" ht="15.75" hidden="false" customHeight="true" outlineLevel="0" collapsed="false">
      <c r="A164" s="62" t="n">
        <v>26</v>
      </c>
      <c r="B164" s="63" t="n">
        <v>9.21</v>
      </c>
      <c r="C164" s="66" t="n">
        <v>83.15</v>
      </c>
      <c r="D164" s="62" t="s">
        <v>8</v>
      </c>
    </row>
    <row r="165" customFormat="false" ht="15.75" hidden="false" customHeight="true" outlineLevel="0" collapsed="false">
      <c r="A165" s="62" t="n">
        <v>13</v>
      </c>
      <c r="B165" s="63" t="n">
        <v>8.24</v>
      </c>
      <c r="C165" s="66" t="n">
        <v>76.96</v>
      </c>
      <c r="D165" s="62" t="s">
        <v>8</v>
      </c>
    </row>
    <row r="166" customFormat="false" ht="15.75" hidden="false" customHeight="true" outlineLevel="0" collapsed="false">
      <c r="A166" s="62" t="n">
        <v>27</v>
      </c>
      <c r="B166" s="63" t="n">
        <v>6.63</v>
      </c>
      <c r="C166" s="66" t="n">
        <v>54.57</v>
      </c>
      <c r="D166" s="62" t="s">
        <v>8</v>
      </c>
    </row>
    <row r="167" customFormat="false" ht="15.75" hidden="false" customHeight="true" outlineLevel="0" collapsed="false">
      <c r="A167" s="62" t="n">
        <v>16</v>
      </c>
      <c r="B167" s="63" t="n">
        <v>8.29</v>
      </c>
      <c r="C167" s="66" t="n">
        <v>115.29</v>
      </c>
      <c r="D167" s="62" t="s">
        <v>8</v>
      </c>
    </row>
    <row r="168" customFormat="false" ht="15.75" hidden="false" customHeight="true" outlineLevel="0" collapsed="false">
      <c r="A168" s="62" t="n">
        <v>23</v>
      </c>
      <c r="B168" s="63" t="n">
        <v>8.65</v>
      </c>
      <c r="C168" s="66" t="n">
        <v>88.43</v>
      </c>
      <c r="D168" s="62" t="s">
        <v>8</v>
      </c>
    </row>
    <row r="169" customFormat="false" ht="15.75" hidden="false" customHeight="true" outlineLevel="0" collapsed="false">
      <c r="A169" s="62" t="n">
        <v>47</v>
      </c>
      <c r="B169" s="63" t="n">
        <v>9.21</v>
      </c>
      <c r="C169" s="66" t="n">
        <v>62.31</v>
      </c>
      <c r="D169" s="62" t="s">
        <v>8</v>
      </c>
    </row>
    <row r="170" customFormat="false" ht="15.75" hidden="false" customHeight="true" outlineLevel="0" collapsed="false">
      <c r="A170" s="62" t="n">
        <v>17</v>
      </c>
      <c r="B170" s="63" t="n">
        <v>9.05</v>
      </c>
      <c r="C170" s="66" t="n">
        <v>29.32</v>
      </c>
      <c r="D170" s="62" t="s">
        <v>8</v>
      </c>
    </row>
    <row r="171" customFormat="false" ht="15.75" hidden="false" customHeight="true" outlineLevel="0" collapsed="false">
      <c r="A171" s="62" t="n">
        <v>3</v>
      </c>
      <c r="B171" s="63" t="n">
        <v>7.71</v>
      </c>
      <c r="C171" s="66" t="n">
        <v>67.36</v>
      </c>
      <c r="D171" s="62" t="s">
        <v>8</v>
      </c>
    </row>
    <row r="172" customFormat="false" ht="15.75" hidden="false" customHeight="true" outlineLevel="0" collapsed="false">
      <c r="A172" s="62" t="n">
        <v>38</v>
      </c>
      <c r="B172" s="63" t="n">
        <v>8.75</v>
      </c>
      <c r="C172" s="66" t="n">
        <v>88.53</v>
      </c>
      <c r="D172" s="62" t="s">
        <v>8</v>
      </c>
    </row>
    <row r="173" customFormat="false" ht="15.75" hidden="false" customHeight="true" outlineLevel="0" collapsed="false">
      <c r="A173" s="62" t="n">
        <v>28</v>
      </c>
      <c r="B173" s="63" t="n">
        <v>7.97</v>
      </c>
      <c r="C173" s="66" t="n">
        <v>52.97</v>
      </c>
      <c r="D173" s="62" t="s">
        <v>8</v>
      </c>
    </row>
    <row r="174" customFormat="false" ht="15.75" hidden="false" customHeight="true" outlineLevel="0" collapsed="false">
      <c r="A174" s="62" t="n">
        <v>47</v>
      </c>
      <c r="B174" s="63" t="n">
        <v>7.59</v>
      </c>
      <c r="C174" s="66" t="n">
        <v>83.57</v>
      </c>
      <c r="D174" s="62" t="s">
        <v>8</v>
      </c>
    </row>
    <row r="175" customFormat="false" ht="15.75" hidden="false" customHeight="true" outlineLevel="0" collapsed="false">
      <c r="A175" s="62" t="n">
        <v>23</v>
      </c>
      <c r="B175" s="63" t="n">
        <v>8.18</v>
      </c>
      <c r="C175" s="66" t="n">
        <v>92.48</v>
      </c>
      <c r="D175" s="62" t="s">
        <v>8</v>
      </c>
    </row>
    <row r="176" customFormat="false" ht="15.75" hidden="false" customHeight="true" outlineLevel="0" collapsed="false">
      <c r="A176" s="62" t="n">
        <v>27</v>
      </c>
      <c r="B176" s="63" t="n">
        <v>9.25</v>
      </c>
      <c r="C176" s="66" t="n">
        <v>66.71</v>
      </c>
      <c r="D176" s="62" t="s">
        <v>8</v>
      </c>
    </row>
    <row r="177" customFormat="false" ht="15.75" hidden="false" customHeight="true" outlineLevel="0" collapsed="false">
      <c r="A177" s="62" t="n">
        <v>30</v>
      </c>
      <c r="B177" s="63" t="n">
        <v>4.54</v>
      </c>
      <c r="C177" s="66" t="n">
        <v>42.01</v>
      </c>
      <c r="D177" s="62" t="s">
        <v>8</v>
      </c>
    </row>
    <row r="178" customFormat="false" ht="15.75" hidden="false" customHeight="true" outlineLevel="0" collapsed="false">
      <c r="A178" s="62" t="n">
        <v>35</v>
      </c>
      <c r="B178" s="63" t="n">
        <v>4.68</v>
      </c>
      <c r="C178" s="66" t="n">
        <v>49.81</v>
      </c>
      <c r="D178" s="62" t="s">
        <v>8</v>
      </c>
    </row>
    <row r="179" customFormat="false" ht="15.75" hidden="false" customHeight="true" outlineLevel="0" collapsed="false">
      <c r="A179" s="62" t="n">
        <v>25</v>
      </c>
      <c r="B179" s="63" t="n">
        <v>8.39</v>
      </c>
      <c r="C179" s="66" t="n">
        <v>56.55</v>
      </c>
      <c r="D179" s="62" t="s">
        <v>8</v>
      </c>
    </row>
    <row r="180" customFormat="false" ht="15.75" hidden="false" customHeight="true" outlineLevel="0" collapsed="false">
      <c r="A180" s="62" t="n">
        <v>34</v>
      </c>
      <c r="B180" s="63" t="n">
        <v>4.03</v>
      </c>
      <c r="C180" s="66" t="n">
        <v>44.21</v>
      </c>
      <c r="D180" s="62" t="s">
        <v>8</v>
      </c>
    </row>
    <row r="181" customFormat="false" ht="15.75" hidden="false" customHeight="true" outlineLevel="0" collapsed="false">
      <c r="A181" s="62" t="n">
        <v>9</v>
      </c>
      <c r="B181" s="63" t="n">
        <v>9.96</v>
      </c>
      <c r="C181" s="66" t="n">
        <v>50.61</v>
      </c>
      <c r="D181" s="62" t="s">
        <v>8</v>
      </c>
    </row>
    <row r="182" customFormat="false" ht="15.75" hidden="false" customHeight="true" outlineLevel="0" collapsed="false">
      <c r="A182" s="62" t="n">
        <v>30</v>
      </c>
      <c r="B182" s="63" t="n">
        <v>4.15</v>
      </c>
      <c r="C182" s="66" t="n">
        <v>60.58</v>
      </c>
      <c r="D182" s="62" t="s">
        <v>8</v>
      </c>
    </row>
    <row r="183" customFormat="false" ht="15.75" hidden="false" customHeight="true" outlineLevel="0" collapsed="false">
      <c r="A183" s="62" t="n">
        <v>54</v>
      </c>
      <c r="B183" s="63" t="n">
        <v>7.58</v>
      </c>
      <c r="C183" s="66" t="n">
        <v>44.09</v>
      </c>
      <c r="D183" s="62" t="s">
        <v>8</v>
      </c>
    </row>
    <row r="184" customFormat="false" ht="15.75" hidden="false" customHeight="true" outlineLevel="0" collapsed="false">
      <c r="A184" s="62" t="n">
        <v>18</v>
      </c>
      <c r="B184" s="63" t="n">
        <v>7.54</v>
      </c>
      <c r="C184" s="66" t="n">
        <v>75.03</v>
      </c>
      <c r="D184" s="62" t="s">
        <v>8</v>
      </c>
    </row>
    <row r="185" customFormat="false" ht="15.75" hidden="false" customHeight="true" outlineLevel="0" collapsed="false">
      <c r="A185" s="62" t="n">
        <v>51</v>
      </c>
      <c r="B185" s="63" t="n">
        <v>5.25</v>
      </c>
      <c r="C185" s="66" t="n">
        <v>44.82</v>
      </c>
      <c r="D185" s="62" t="s">
        <v>8</v>
      </c>
    </row>
    <row r="186" customFormat="false" ht="15.75" hidden="false" customHeight="true" outlineLevel="0" collapsed="false">
      <c r="A186" s="62" t="n">
        <v>38</v>
      </c>
      <c r="B186" s="63" t="n">
        <v>7.21</v>
      </c>
      <c r="C186" s="66" t="n">
        <v>86.23</v>
      </c>
      <c r="D186" s="62" t="s">
        <v>8</v>
      </c>
    </row>
    <row r="187" customFormat="false" ht="15.75" hidden="false" customHeight="true" outlineLevel="0" collapsed="false">
      <c r="A187" s="62" t="n">
        <v>4</v>
      </c>
      <c r="B187" s="63" t="n">
        <v>9.42</v>
      </c>
      <c r="C187" s="66" t="n">
        <v>75.46</v>
      </c>
      <c r="D187" s="62" t="s">
        <v>8</v>
      </c>
    </row>
    <row r="188" customFormat="false" ht="15.75" hidden="false" customHeight="true" outlineLevel="0" collapsed="false">
      <c r="A188" s="62" t="n">
        <v>23</v>
      </c>
      <c r="B188" s="63" t="n">
        <v>6.68</v>
      </c>
      <c r="C188" s="66" t="n">
        <v>33.05</v>
      </c>
      <c r="D188" s="62" t="s">
        <v>8</v>
      </c>
    </row>
    <row r="189" customFormat="false" ht="15.75" hidden="false" customHeight="true" outlineLevel="0" collapsed="false">
      <c r="A189" s="62" t="n">
        <v>26</v>
      </c>
      <c r="B189" s="63" t="n">
        <v>5.78</v>
      </c>
      <c r="C189" s="66" t="n">
        <v>87.4</v>
      </c>
      <c r="D189" s="62" t="s">
        <v>8</v>
      </c>
    </row>
    <row r="190" customFormat="false" ht="15.75" hidden="false" customHeight="true" outlineLevel="0" collapsed="false">
      <c r="A190" s="62" t="n">
        <v>47</v>
      </c>
      <c r="B190" s="63" t="n">
        <v>5.23</v>
      </c>
      <c r="C190" s="66" t="n">
        <v>40.19</v>
      </c>
      <c r="D190" s="62" t="s">
        <v>8</v>
      </c>
    </row>
    <row r="191" customFormat="false" ht="15.75" hidden="false" customHeight="true" outlineLevel="0" collapsed="false">
      <c r="A191" s="62" t="n">
        <v>22</v>
      </c>
      <c r="B191" s="63" t="n">
        <v>4.38</v>
      </c>
      <c r="C191" s="66" t="n">
        <v>43.95</v>
      </c>
      <c r="D191" s="62" t="s">
        <v>8</v>
      </c>
    </row>
    <row r="192" customFormat="false" ht="15.75" hidden="false" customHeight="true" outlineLevel="0" collapsed="false">
      <c r="A192" s="62" t="n">
        <v>43</v>
      </c>
      <c r="B192" s="63" t="n">
        <v>9.01</v>
      </c>
      <c r="C192" s="66" t="n">
        <v>61.06</v>
      </c>
      <c r="D192" s="62" t="s">
        <v>8</v>
      </c>
    </row>
    <row r="193" customFormat="false" ht="15.75" hidden="false" customHeight="true" outlineLevel="0" collapsed="false">
      <c r="A193" s="62" t="n">
        <v>4</v>
      </c>
      <c r="B193" s="63" t="n">
        <v>5.12</v>
      </c>
      <c r="C193" s="66" t="n">
        <v>63.38</v>
      </c>
      <c r="D193" s="62" t="s">
        <v>8</v>
      </c>
    </row>
    <row r="194" customFormat="false" ht="15.75" hidden="false" customHeight="true" outlineLevel="0" collapsed="false">
      <c r="A194" s="62" t="n">
        <v>26</v>
      </c>
      <c r="B194" s="63" t="n">
        <v>4.18</v>
      </c>
      <c r="C194" s="66" t="n">
        <v>8</v>
      </c>
      <c r="D194" s="62" t="s">
        <v>8</v>
      </c>
    </row>
    <row r="195" customFormat="false" ht="15.75" hidden="false" customHeight="true" outlineLevel="0" collapsed="false">
      <c r="A195" s="62" t="n">
        <v>47</v>
      </c>
      <c r="B195" s="63" t="n">
        <v>6.36</v>
      </c>
      <c r="C195" s="66" t="n">
        <v>67.44</v>
      </c>
      <c r="D195" s="62" t="s">
        <v>8</v>
      </c>
    </row>
    <row r="196" customFormat="false" ht="15.75" hidden="false" customHeight="true" outlineLevel="0" collapsed="false">
      <c r="A196" s="62" t="n">
        <v>13</v>
      </c>
      <c r="B196" s="63" t="n">
        <v>4.08</v>
      </c>
      <c r="C196" s="66" t="n">
        <v>82.05</v>
      </c>
      <c r="D196" s="62" t="s">
        <v>8</v>
      </c>
    </row>
    <row r="197" customFormat="false" ht="15.75" hidden="false" customHeight="true" outlineLevel="0" collapsed="false">
      <c r="A197" s="62" t="n">
        <v>59</v>
      </c>
      <c r="B197" s="63" t="n">
        <v>8.54</v>
      </c>
      <c r="C197" s="66" t="n">
        <v>42.33</v>
      </c>
      <c r="D197" s="62" t="s">
        <v>8</v>
      </c>
    </row>
    <row r="198" customFormat="false" ht="15.75" hidden="false" customHeight="true" outlineLevel="0" collapsed="false">
      <c r="A198" s="62" t="n">
        <v>39</v>
      </c>
      <c r="B198" s="63" t="n">
        <v>5.38</v>
      </c>
      <c r="C198" s="66" t="n">
        <v>46.56</v>
      </c>
      <c r="D198" s="62" t="s">
        <v>8</v>
      </c>
    </row>
    <row r="199" customFormat="false" ht="15.75" hidden="false" customHeight="true" outlineLevel="0" collapsed="false">
      <c r="A199" s="62" t="n">
        <v>38</v>
      </c>
      <c r="B199" s="63" t="n">
        <v>5.5</v>
      </c>
      <c r="C199" s="66" t="n">
        <v>42.01</v>
      </c>
      <c r="D199" s="62" t="s">
        <v>8</v>
      </c>
    </row>
    <row r="200" customFormat="false" ht="15.75" hidden="false" customHeight="true" outlineLevel="0" collapsed="false">
      <c r="A200" s="62" t="n">
        <v>47</v>
      </c>
      <c r="B200" s="63" t="n">
        <v>5.03</v>
      </c>
      <c r="C200" s="66" t="n">
        <v>31.21</v>
      </c>
      <c r="D200" s="62" t="s">
        <v>8</v>
      </c>
    </row>
    <row r="201" customFormat="false" ht="15.75" hidden="false" customHeight="true" outlineLevel="0" collapsed="false">
      <c r="A201" s="62" t="n">
        <v>60</v>
      </c>
      <c r="B201" s="63" t="n">
        <v>4.69</v>
      </c>
      <c r="C201" s="66" t="n">
        <v>46.24</v>
      </c>
      <c r="D201" s="62" t="s">
        <v>8</v>
      </c>
    </row>
    <row r="202" customFormat="false" ht="15.75" hidden="false" customHeight="true" outlineLevel="0" collapsed="false">
      <c r="A202" s="62" t="n">
        <v>23</v>
      </c>
      <c r="B202" s="63" t="n">
        <v>4.34</v>
      </c>
      <c r="C202" s="66" t="n">
        <v>50.33</v>
      </c>
      <c r="D202" s="62" t="s">
        <v>8</v>
      </c>
    </row>
    <row r="203" customFormat="false" ht="15.75" hidden="false" customHeight="true" outlineLevel="0" collapsed="false">
      <c r="A203" s="62" t="n">
        <v>3</v>
      </c>
      <c r="B203" s="63" t="n">
        <v>8.93</v>
      </c>
      <c r="C203" s="66" t="n">
        <v>118.54</v>
      </c>
      <c r="D203" s="62" t="s">
        <v>8</v>
      </c>
    </row>
    <row r="204" customFormat="false" ht="15.75" hidden="false" customHeight="true" outlineLevel="0" collapsed="false">
      <c r="A204" s="62" t="n">
        <v>7</v>
      </c>
      <c r="B204" s="63" t="n">
        <v>7.91</v>
      </c>
      <c r="C204" s="66" t="n">
        <v>66.21</v>
      </c>
      <c r="D204" s="62" t="s">
        <v>8</v>
      </c>
    </row>
    <row r="205" customFormat="false" ht="15.75" hidden="false" customHeight="true" outlineLevel="0" collapsed="false">
      <c r="A205" s="62" t="n">
        <v>24</v>
      </c>
      <c r="B205" s="63" t="n">
        <v>4.67</v>
      </c>
      <c r="C205" s="66" t="n">
        <v>57.53</v>
      </c>
      <c r="D205" s="62" t="s">
        <v>8</v>
      </c>
    </row>
    <row r="206" customFormat="false" ht="15.75" hidden="false" customHeight="true" outlineLevel="0" collapsed="false">
      <c r="A206" s="62" t="n">
        <v>24</v>
      </c>
      <c r="B206" s="63" t="n">
        <v>9.91</v>
      </c>
      <c r="C206" s="66" t="n">
        <v>62.71</v>
      </c>
      <c r="D206" s="62" t="s">
        <v>8</v>
      </c>
    </row>
    <row r="207" customFormat="false" ht="15.75" hidden="false" customHeight="true" outlineLevel="0" collapsed="false">
      <c r="A207" s="62" t="n">
        <v>11</v>
      </c>
      <c r="B207" s="63" t="n">
        <v>6.33</v>
      </c>
      <c r="C207" s="66" t="n">
        <v>50.62</v>
      </c>
      <c r="D207" s="62" t="s">
        <v>8</v>
      </c>
    </row>
    <row r="208" customFormat="false" ht="15.75" hidden="false" customHeight="true" outlineLevel="0" collapsed="false">
      <c r="A208" s="62" t="n">
        <v>25</v>
      </c>
      <c r="B208" s="63" t="n">
        <v>9.67</v>
      </c>
      <c r="C208" s="66" t="n">
        <v>93.01</v>
      </c>
      <c r="D208" s="62" t="s">
        <v>8</v>
      </c>
    </row>
    <row r="209" customFormat="false" ht="15.75" hidden="false" customHeight="true" outlineLevel="0" collapsed="false">
      <c r="A209" s="62" t="n">
        <v>7</v>
      </c>
      <c r="B209" s="63" t="n">
        <v>5.36</v>
      </c>
      <c r="C209" s="66" t="n">
        <v>66.86</v>
      </c>
      <c r="D209" s="62" t="s">
        <v>8</v>
      </c>
    </row>
    <row r="210" customFormat="false" ht="15.75" hidden="false" customHeight="true" outlineLevel="0" collapsed="false">
      <c r="A210" s="62" t="n">
        <v>31</v>
      </c>
      <c r="B210" s="63" t="n">
        <v>4.13</v>
      </c>
      <c r="C210" s="66" t="n">
        <v>26.63</v>
      </c>
      <c r="D210" s="62" t="s">
        <v>8</v>
      </c>
    </row>
    <row r="211" customFormat="false" ht="15.75" hidden="false" customHeight="true" outlineLevel="0" collapsed="false">
      <c r="A211" s="62" t="n">
        <v>20</v>
      </c>
      <c r="B211" s="63" t="n">
        <v>7.36</v>
      </c>
      <c r="C211" s="66" t="n">
        <v>80.43</v>
      </c>
      <c r="D211" s="62" t="s">
        <v>8</v>
      </c>
    </row>
    <row r="212" customFormat="false" ht="15.75" hidden="false" customHeight="true" outlineLevel="0" collapsed="false">
      <c r="A212" s="62" t="n">
        <v>31</v>
      </c>
      <c r="B212" s="63" t="n">
        <v>9.84</v>
      </c>
      <c r="C212" s="66" t="n">
        <v>108.17</v>
      </c>
      <c r="D212" s="62" t="s">
        <v>9</v>
      </c>
    </row>
    <row r="213" customFormat="false" ht="15.75" hidden="false" customHeight="true" outlineLevel="0" collapsed="false">
      <c r="A213" s="62" t="n">
        <v>44</v>
      </c>
      <c r="B213" s="63" t="n">
        <v>6.44</v>
      </c>
      <c r="C213" s="66" t="n">
        <v>95.27</v>
      </c>
      <c r="D213" s="62" t="s">
        <v>8</v>
      </c>
    </row>
    <row r="214" customFormat="false" ht="15.75" hidden="false" customHeight="true" outlineLevel="0" collapsed="false">
      <c r="A214" s="62" t="n">
        <v>15</v>
      </c>
      <c r="B214" s="63" t="n">
        <v>4.14</v>
      </c>
      <c r="C214" s="66" t="n">
        <v>35.78</v>
      </c>
      <c r="D214" s="62" t="s">
        <v>8</v>
      </c>
    </row>
    <row r="215" customFormat="false" ht="15.75" hidden="false" customHeight="true" outlineLevel="0" collapsed="false">
      <c r="A215" s="62" t="n">
        <v>35</v>
      </c>
      <c r="B215" s="63" t="n">
        <v>6.63</v>
      </c>
      <c r="C215" s="66" t="n">
        <v>79.29</v>
      </c>
      <c r="D215" s="62" t="s">
        <v>8</v>
      </c>
    </row>
    <row r="216" customFormat="false" ht="15.75" hidden="false" customHeight="true" outlineLevel="0" collapsed="false">
      <c r="A216" s="62" t="n">
        <v>42</v>
      </c>
      <c r="B216" s="63" t="n">
        <v>7.68</v>
      </c>
      <c r="C216" s="66" t="n">
        <v>70.06</v>
      </c>
      <c r="D216" s="62" t="s">
        <v>8</v>
      </c>
    </row>
    <row r="217" customFormat="false" ht="15.75" hidden="false" customHeight="true" outlineLevel="0" collapsed="false">
      <c r="A217" s="62" t="n">
        <v>33</v>
      </c>
      <c r="B217" s="63" t="n">
        <v>8.47</v>
      </c>
      <c r="C217" s="66" t="n">
        <v>69.06</v>
      </c>
      <c r="D217" s="62" t="s">
        <v>8</v>
      </c>
    </row>
    <row r="218" customFormat="false" ht="15.75" hidden="false" customHeight="true" outlineLevel="0" collapsed="false">
      <c r="A218" s="62" t="n">
        <v>12</v>
      </c>
      <c r="B218" s="63" t="n">
        <v>4.52</v>
      </c>
      <c r="C218" s="66" t="n">
        <v>45.92</v>
      </c>
      <c r="D218" s="62" t="s">
        <v>8</v>
      </c>
    </row>
    <row r="219" customFormat="false" ht="15.75" hidden="false" customHeight="true" outlineLevel="0" collapsed="false">
      <c r="A219" s="62" t="n">
        <v>8</v>
      </c>
      <c r="B219" s="63" t="n">
        <v>8.39</v>
      </c>
      <c r="C219" s="66" t="n">
        <v>89.98</v>
      </c>
      <c r="D219" s="62" t="s">
        <v>8</v>
      </c>
    </row>
    <row r="220" customFormat="false" ht="15.75" hidden="false" customHeight="true" outlineLevel="0" collapsed="false">
      <c r="A220" s="62" t="n">
        <v>28</v>
      </c>
      <c r="B220" s="63" t="n">
        <v>8.86</v>
      </c>
      <c r="C220" s="66" t="n">
        <v>55.5</v>
      </c>
      <c r="D220" s="62" t="s">
        <v>8</v>
      </c>
    </row>
    <row r="221" customFormat="false" ht="15.75" hidden="false" customHeight="true" outlineLevel="0" collapsed="false">
      <c r="A221" s="62" t="n">
        <v>2</v>
      </c>
      <c r="B221" s="63" t="n">
        <v>9.46</v>
      </c>
      <c r="C221" s="66" t="n">
        <v>90.99</v>
      </c>
      <c r="D221" s="62" t="s">
        <v>8</v>
      </c>
    </row>
    <row r="222" customFormat="false" ht="15.75" hidden="false" customHeight="true" outlineLevel="0" collapsed="false">
      <c r="A222" s="62" t="n">
        <v>9</v>
      </c>
      <c r="B222" s="63" t="n">
        <v>6.5</v>
      </c>
      <c r="C222" s="66" t="n">
        <v>76.01</v>
      </c>
      <c r="D222" s="62" t="s">
        <v>8</v>
      </c>
    </row>
    <row r="223" customFormat="false" ht="15.75" hidden="false" customHeight="true" outlineLevel="0" collapsed="false">
      <c r="A223" s="62" t="n">
        <v>27</v>
      </c>
      <c r="B223" s="63" t="n">
        <v>6.63</v>
      </c>
      <c r="C223" s="66" t="n">
        <v>34.28</v>
      </c>
      <c r="D223" s="62" t="s">
        <v>8</v>
      </c>
    </row>
    <row r="224" customFormat="false" ht="15.75" hidden="false" customHeight="true" outlineLevel="0" collapsed="false">
      <c r="A224" s="62" t="n">
        <v>38</v>
      </c>
      <c r="B224" s="63" t="n">
        <v>8.56</v>
      </c>
      <c r="C224" s="66" t="n">
        <v>103.65</v>
      </c>
      <c r="D224" s="62" t="s">
        <v>9</v>
      </c>
    </row>
    <row r="225" customFormat="false" ht="15.75" hidden="false" customHeight="true" outlineLevel="0" collapsed="false">
      <c r="A225" s="62" t="n">
        <v>33</v>
      </c>
      <c r="B225" s="63" t="n">
        <v>9.19</v>
      </c>
      <c r="C225" s="66" t="n">
        <v>72.56</v>
      </c>
      <c r="D225" s="62" t="s">
        <v>8</v>
      </c>
    </row>
    <row r="226" customFormat="false" ht="15.75" hidden="false" customHeight="true" outlineLevel="0" collapsed="false">
      <c r="A226" s="62" t="n">
        <v>23</v>
      </c>
      <c r="B226" s="63" t="n">
        <v>4.15</v>
      </c>
      <c r="C226" s="66" t="n">
        <v>49.27</v>
      </c>
      <c r="D226" s="62" t="s">
        <v>8</v>
      </c>
    </row>
    <row r="227" customFormat="false" ht="15.75" hidden="false" customHeight="true" outlineLevel="0" collapsed="false">
      <c r="A227" s="62" t="n">
        <v>48</v>
      </c>
      <c r="B227" s="63" t="n">
        <v>6.09</v>
      </c>
      <c r="C227" s="66" t="n">
        <v>65.21</v>
      </c>
      <c r="D227" s="62" t="s">
        <v>8</v>
      </c>
    </row>
    <row r="228" customFormat="false" ht="15.75" hidden="false" customHeight="true" outlineLevel="0" collapsed="false">
      <c r="A228" s="62" t="n">
        <v>28</v>
      </c>
      <c r="B228" s="63" t="n">
        <v>7.41</v>
      </c>
      <c r="C228" s="66" t="n">
        <v>86.46</v>
      </c>
      <c r="D228" s="62" t="s">
        <v>8</v>
      </c>
    </row>
    <row r="229" customFormat="false" ht="15.75" hidden="false" customHeight="true" outlineLevel="0" collapsed="false">
      <c r="A229" s="62" t="n">
        <v>9</v>
      </c>
      <c r="B229" s="63" t="n">
        <v>5.47</v>
      </c>
      <c r="C229" s="66" t="n">
        <v>45.76</v>
      </c>
      <c r="D229" s="62" t="s">
        <v>8</v>
      </c>
    </row>
    <row r="230" customFormat="false" ht="15.75" hidden="false" customHeight="true" outlineLevel="0" collapsed="false">
      <c r="A230" s="62" t="n">
        <v>31</v>
      </c>
      <c r="B230" s="63" t="n">
        <v>4.65</v>
      </c>
      <c r="C230" s="66" t="n">
        <v>30.74</v>
      </c>
      <c r="D230" s="62" t="s">
        <v>8</v>
      </c>
    </row>
    <row r="231" customFormat="false" ht="15.75" hidden="false" customHeight="true" outlineLevel="0" collapsed="false">
      <c r="A231" s="62" t="n">
        <v>35</v>
      </c>
      <c r="B231" s="63" t="n">
        <v>7.69</v>
      </c>
      <c r="C231" s="66" t="n">
        <v>81.08</v>
      </c>
      <c r="D231" s="62" t="s">
        <v>8</v>
      </c>
    </row>
    <row r="232" customFormat="false" ht="15.75" hidden="false" customHeight="true" outlineLevel="0" collapsed="false">
      <c r="A232" s="62" t="n">
        <v>38</v>
      </c>
      <c r="B232" s="63" t="n">
        <v>4.75</v>
      </c>
      <c r="C232" s="66" t="n">
        <v>51</v>
      </c>
      <c r="D232" s="62" t="s">
        <v>8</v>
      </c>
    </row>
    <row r="233" customFormat="false" ht="15.75" hidden="false" customHeight="true" outlineLevel="0" collapsed="false">
      <c r="A233" s="62" t="n">
        <v>41</v>
      </c>
      <c r="B233" s="63" t="n">
        <v>8.68</v>
      </c>
      <c r="C233" s="66" t="n">
        <v>67.36</v>
      </c>
      <c r="D233" s="62" t="s">
        <v>8</v>
      </c>
    </row>
    <row r="234" customFormat="false" ht="15.75" hidden="false" customHeight="true" outlineLevel="0" collapsed="false">
      <c r="A234" s="62" t="n">
        <v>33</v>
      </c>
      <c r="B234" s="63" t="n">
        <v>7.6</v>
      </c>
      <c r="C234" s="66" t="n">
        <v>50.29</v>
      </c>
      <c r="D234" s="62" t="s">
        <v>8</v>
      </c>
    </row>
    <row r="235" customFormat="false" ht="15.75" hidden="false" customHeight="true" outlineLevel="0" collapsed="false">
      <c r="A235" s="62" t="n">
        <v>30</v>
      </c>
      <c r="B235" s="63" t="n">
        <v>9.22</v>
      </c>
      <c r="C235" s="66" t="n">
        <v>83.76</v>
      </c>
      <c r="D235" s="62" t="s">
        <v>8</v>
      </c>
    </row>
    <row r="236" customFormat="false" ht="15.75" hidden="false" customHeight="true" outlineLevel="0" collapsed="false">
      <c r="A236" s="62" t="n">
        <v>10</v>
      </c>
      <c r="B236" s="63" t="n">
        <v>5.46</v>
      </c>
      <c r="C236" s="66" t="n">
        <v>21.46</v>
      </c>
      <c r="D236" s="62" t="s">
        <v>8</v>
      </c>
    </row>
    <row r="237" customFormat="false" ht="15.75" hidden="false" customHeight="true" outlineLevel="0" collapsed="false">
      <c r="A237" s="62" t="n">
        <v>18</v>
      </c>
      <c r="B237" s="63" t="n">
        <v>4.3</v>
      </c>
      <c r="C237" s="66" t="n">
        <v>52.51</v>
      </c>
      <c r="D237" s="62" t="s">
        <v>8</v>
      </c>
    </row>
    <row r="238" customFormat="false" ht="15.75" hidden="false" customHeight="true" outlineLevel="0" collapsed="false">
      <c r="A238" s="62" t="n">
        <v>40</v>
      </c>
      <c r="B238" s="63" t="n">
        <v>4.44</v>
      </c>
      <c r="C238" s="66" t="n">
        <v>24.63</v>
      </c>
      <c r="D238" s="62" t="s">
        <v>8</v>
      </c>
    </row>
    <row r="239" customFormat="false" ht="15.75" hidden="false" customHeight="true" outlineLevel="0" collapsed="false">
      <c r="A239" s="62" t="n">
        <v>6</v>
      </c>
      <c r="B239" s="63" t="n">
        <v>4.68</v>
      </c>
      <c r="C239" s="66" t="n">
        <v>9.23</v>
      </c>
      <c r="D239" s="62" t="s">
        <v>8</v>
      </c>
    </row>
    <row r="240" customFormat="false" ht="15.75" hidden="false" customHeight="true" outlineLevel="0" collapsed="false">
      <c r="A240" s="62" t="n">
        <v>63</v>
      </c>
      <c r="B240" s="63" t="n">
        <v>8.55</v>
      </c>
      <c r="C240" s="66" t="n">
        <v>39.17</v>
      </c>
      <c r="D240" s="62" t="s">
        <v>8</v>
      </c>
    </row>
    <row r="241" customFormat="false" ht="15.75" hidden="false" customHeight="true" outlineLevel="0" collapsed="false">
      <c r="A241" s="62" t="n">
        <v>9</v>
      </c>
      <c r="B241" s="63" t="n">
        <v>4.3</v>
      </c>
      <c r="C241" s="66" t="n">
        <v>50.74</v>
      </c>
      <c r="D241" s="62" t="s">
        <v>8</v>
      </c>
    </row>
    <row r="242" customFormat="false" ht="15.75" hidden="false" customHeight="true" outlineLevel="0" collapsed="false">
      <c r="A242" s="62" t="n">
        <v>42</v>
      </c>
      <c r="B242" s="63" t="n">
        <v>7.06</v>
      </c>
      <c r="C242" s="66" t="n">
        <v>86.68</v>
      </c>
      <c r="D242" s="62" t="s">
        <v>8</v>
      </c>
    </row>
    <row r="243" customFormat="false" ht="15.75" hidden="false" customHeight="true" outlineLevel="0" collapsed="false">
      <c r="A243" s="62" t="n">
        <v>24</v>
      </c>
      <c r="B243" s="63" t="n">
        <v>8.65</v>
      </c>
      <c r="C243" s="66" t="n">
        <v>79.79</v>
      </c>
      <c r="D243" s="62" t="s">
        <v>8</v>
      </c>
    </row>
    <row r="244" customFormat="false" ht="15.75" hidden="false" customHeight="true" outlineLevel="0" collapsed="false">
      <c r="A244" s="62" t="n">
        <v>29</v>
      </c>
      <c r="B244" s="63" t="n">
        <v>7.38</v>
      </c>
      <c r="C244" s="66" t="n">
        <v>26.08</v>
      </c>
      <c r="D244" s="62" t="s">
        <v>8</v>
      </c>
    </row>
    <row r="245" customFormat="false" ht="15.75" hidden="false" customHeight="true" outlineLevel="0" collapsed="false">
      <c r="A245" s="62" t="n">
        <v>3</v>
      </c>
      <c r="B245" s="63" t="n">
        <v>8.12</v>
      </c>
      <c r="C245" s="66" t="n">
        <v>72.25</v>
      </c>
      <c r="D245" s="62" t="s">
        <v>8</v>
      </c>
    </row>
    <row r="246" customFormat="false" ht="15.75" hidden="false" customHeight="true" outlineLevel="0" collapsed="false">
      <c r="A246" s="62" t="n">
        <v>22</v>
      </c>
      <c r="B246" s="63" t="n">
        <v>5.7</v>
      </c>
      <c r="C246" s="66" t="n">
        <v>49.24</v>
      </c>
      <c r="D246" s="62" t="s">
        <v>8</v>
      </c>
    </row>
    <row r="247" customFormat="false" ht="15.75" hidden="false" customHeight="true" outlineLevel="0" collapsed="false">
      <c r="A247" s="62" t="n">
        <v>36</v>
      </c>
      <c r="B247" s="63" t="n">
        <v>9.99</v>
      </c>
      <c r="C247" s="66" t="n">
        <v>78.39</v>
      </c>
      <c r="D247" s="62" t="s">
        <v>8</v>
      </c>
    </row>
    <row r="248" customFormat="false" ht="15.75" hidden="false" customHeight="true" outlineLevel="0" collapsed="false">
      <c r="A248" s="62" t="n">
        <v>67</v>
      </c>
      <c r="B248" s="63" t="n">
        <v>5.34</v>
      </c>
      <c r="C248" s="66" t="n">
        <v>70.22</v>
      </c>
      <c r="D248" s="62" t="s">
        <v>8</v>
      </c>
    </row>
    <row r="249" customFormat="false" ht="15.75" hidden="false" customHeight="true" outlineLevel="0" collapsed="false">
      <c r="A249" s="62" t="n">
        <v>5</v>
      </c>
      <c r="B249" s="63" t="n">
        <v>8.22</v>
      </c>
      <c r="C249" s="66" t="n">
        <v>60.49</v>
      </c>
      <c r="D249" s="62" t="s">
        <v>8</v>
      </c>
    </row>
    <row r="250" customFormat="false" ht="15.75" hidden="false" customHeight="true" outlineLevel="0" collapsed="false">
      <c r="A250" s="62" t="n">
        <v>6</v>
      </c>
      <c r="B250" s="63" t="n">
        <v>4.78</v>
      </c>
      <c r="C250" s="66" t="n">
        <v>62.92</v>
      </c>
      <c r="D250" s="62" t="s">
        <v>8</v>
      </c>
    </row>
    <row r="251" customFormat="false" ht="15.75" hidden="false" customHeight="true" outlineLevel="0" collapsed="false">
      <c r="A251" s="62" t="n">
        <v>41</v>
      </c>
      <c r="B251" s="63" t="n">
        <v>7.05</v>
      </c>
      <c r="C251" s="66" t="n">
        <v>48.83</v>
      </c>
      <c r="D251" s="62" t="s">
        <v>8</v>
      </c>
    </row>
    <row r="252" customFormat="false" ht="15.75" hidden="false" customHeight="true" outlineLevel="0" collapsed="false">
      <c r="A252" s="62" t="n">
        <v>31</v>
      </c>
      <c r="B252" s="63" t="n">
        <v>4.83</v>
      </c>
      <c r="C252" s="66" t="n">
        <v>39.82</v>
      </c>
      <c r="D252" s="62" t="s">
        <v>9</v>
      </c>
    </row>
    <row r="253" customFormat="false" ht="15.75" hidden="false" customHeight="true" outlineLevel="0" collapsed="false">
      <c r="A253" s="62" t="n">
        <v>22</v>
      </c>
      <c r="B253" s="63" t="n">
        <v>7.66</v>
      </c>
      <c r="C253" s="66" t="n">
        <v>69.86</v>
      </c>
      <c r="D253" s="62" t="s">
        <v>9</v>
      </c>
    </row>
    <row r="254" customFormat="false" ht="15.75" hidden="false" customHeight="true" outlineLevel="0" collapsed="false">
      <c r="A254" s="62" t="n">
        <v>13</v>
      </c>
      <c r="B254" s="63" t="n">
        <v>7.88</v>
      </c>
      <c r="C254" s="66" t="n">
        <v>67.95</v>
      </c>
      <c r="D254" s="62" t="s">
        <v>9</v>
      </c>
    </row>
    <row r="255" customFormat="false" ht="15.75" hidden="false" customHeight="true" outlineLevel="0" collapsed="false">
      <c r="A255" s="62" t="n">
        <v>52</v>
      </c>
      <c r="B255" s="63" t="n">
        <v>5.58</v>
      </c>
      <c r="C255" s="66" t="n">
        <v>50.66</v>
      </c>
      <c r="D255" s="62" t="s">
        <v>9</v>
      </c>
    </row>
    <row r="256" customFormat="false" ht="15.75" hidden="false" customHeight="true" outlineLevel="0" collapsed="false">
      <c r="A256" s="62" t="n">
        <v>25</v>
      </c>
      <c r="B256" s="63" t="n">
        <v>4.32</v>
      </c>
      <c r="C256" s="66" t="n">
        <v>31.48</v>
      </c>
      <c r="D256" s="62" t="s">
        <v>9</v>
      </c>
    </row>
    <row r="257" customFormat="false" ht="15.75" hidden="false" customHeight="true" outlineLevel="0" collapsed="false">
      <c r="A257" s="62" t="n">
        <v>13</v>
      </c>
      <c r="B257" s="63" t="n">
        <v>5.2</v>
      </c>
      <c r="C257" s="66" t="n">
        <v>37.39</v>
      </c>
      <c r="D257" s="62" t="s">
        <v>9</v>
      </c>
    </row>
    <row r="258" customFormat="false" ht="15.75" hidden="false" customHeight="true" outlineLevel="0" collapsed="false">
      <c r="A258" s="62" t="n">
        <v>5</v>
      </c>
      <c r="B258" s="63" t="n">
        <v>4.04</v>
      </c>
      <c r="C258" s="66" t="n">
        <v>51.67</v>
      </c>
      <c r="D258" s="62" t="s">
        <v>9</v>
      </c>
    </row>
    <row r="259" customFormat="false" ht="15.75" hidden="false" customHeight="true" outlineLevel="0" collapsed="false">
      <c r="A259" s="62" t="n">
        <v>13</v>
      </c>
      <c r="B259" s="63" t="n">
        <v>4.77</v>
      </c>
      <c r="C259" s="66" t="n">
        <v>43.81</v>
      </c>
      <c r="D259" s="62" t="s">
        <v>9</v>
      </c>
    </row>
    <row r="260" customFormat="false" ht="15.75" hidden="false" customHeight="true" outlineLevel="0" collapsed="false">
      <c r="A260" s="62" t="n">
        <v>51</v>
      </c>
      <c r="B260" s="63" t="n">
        <v>8.34</v>
      </c>
      <c r="C260" s="66" t="n">
        <v>70.43</v>
      </c>
      <c r="D260" s="62" t="s">
        <v>9</v>
      </c>
    </row>
    <row r="261" customFormat="false" ht="15.75" hidden="false" customHeight="true" outlineLevel="0" collapsed="false">
      <c r="A261" s="62" t="n">
        <v>14</v>
      </c>
      <c r="B261" s="63" t="n">
        <v>9.38</v>
      </c>
      <c r="C261" s="66" t="n">
        <v>79.9</v>
      </c>
      <c r="D261" s="62" t="s">
        <v>9</v>
      </c>
    </row>
    <row r="262" customFormat="false" ht="15.75" hidden="false" customHeight="true" outlineLevel="0" collapsed="false">
      <c r="A262" s="62" t="n">
        <v>8</v>
      </c>
      <c r="B262" s="63" t="n">
        <v>9.66</v>
      </c>
      <c r="C262" s="66" t="n">
        <v>63.34</v>
      </c>
      <c r="D262" s="62" t="s">
        <v>9</v>
      </c>
    </row>
    <row r="263" customFormat="false" ht="15.75" hidden="false" customHeight="true" outlineLevel="0" collapsed="false">
      <c r="A263" s="62" t="n">
        <v>48</v>
      </c>
      <c r="B263" s="63" t="n">
        <v>4</v>
      </c>
      <c r="C263" s="66" t="n">
        <v>30.62</v>
      </c>
      <c r="D263" s="62" t="s">
        <v>9</v>
      </c>
    </row>
    <row r="264" customFormat="false" ht="15.75" hidden="false" customHeight="true" outlineLevel="0" collapsed="false">
      <c r="A264" s="62" t="n">
        <v>38</v>
      </c>
      <c r="B264" s="63" t="n">
        <v>7.31</v>
      </c>
      <c r="C264" s="66" t="n">
        <v>51.36</v>
      </c>
      <c r="D264" s="62" t="s">
        <v>9</v>
      </c>
    </row>
    <row r="265" customFormat="false" ht="15.75" hidden="false" customHeight="true" outlineLevel="0" collapsed="false">
      <c r="A265" s="62" t="n">
        <v>51</v>
      </c>
      <c r="B265" s="63" t="n">
        <v>7.45</v>
      </c>
      <c r="C265" s="66" t="n">
        <v>62.85</v>
      </c>
      <c r="D265" s="62" t="s">
        <v>9</v>
      </c>
    </row>
    <row r="266" customFormat="false" ht="15.75" hidden="false" customHeight="true" outlineLevel="0" collapsed="false">
      <c r="A266" s="62" t="n">
        <v>17</v>
      </c>
      <c r="B266" s="63" t="n">
        <v>9.66</v>
      </c>
      <c r="C266" s="66" t="n">
        <v>55.39</v>
      </c>
      <c r="D266" s="62" t="s">
        <v>9</v>
      </c>
    </row>
    <row r="267" customFormat="false" ht="15.75" hidden="false" customHeight="true" outlineLevel="0" collapsed="false">
      <c r="A267" s="62" t="n">
        <v>38</v>
      </c>
      <c r="B267" s="63" t="n">
        <v>9.24</v>
      </c>
      <c r="C267" s="66" t="n">
        <v>91.7</v>
      </c>
      <c r="D267" s="62" t="s">
        <v>9</v>
      </c>
    </row>
    <row r="268" customFormat="false" ht="15.75" hidden="false" customHeight="true" outlineLevel="0" collapsed="false">
      <c r="A268" s="62" t="n">
        <v>47</v>
      </c>
      <c r="B268" s="63" t="n">
        <v>4.5</v>
      </c>
      <c r="C268" s="66" t="n">
        <v>64.67</v>
      </c>
      <c r="D268" s="62" t="s">
        <v>9</v>
      </c>
    </row>
    <row r="269" customFormat="false" ht="15.75" hidden="false" customHeight="true" outlineLevel="0" collapsed="false">
      <c r="A269" s="62" t="n">
        <v>19</v>
      </c>
      <c r="B269" s="63" t="n">
        <v>7.3</v>
      </c>
      <c r="C269" s="66" t="n">
        <v>66.13</v>
      </c>
      <c r="D269" s="62" t="s">
        <v>9</v>
      </c>
    </row>
    <row r="270" customFormat="false" ht="15.75" hidden="false" customHeight="true" outlineLevel="0" collapsed="false">
      <c r="A270" s="62" t="n">
        <v>3</v>
      </c>
      <c r="B270" s="63" t="n">
        <v>5.44</v>
      </c>
      <c r="C270" s="66" t="n">
        <v>47.04</v>
      </c>
      <c r="D270" s="62" t="s">
        <v>9</v>
      </c>
    </row>
    <row r="271" customFormat="false" ht="15.75" hidden="false" customHeight="true" outlineLevel="0" collapsed="false">
      <c r="A271" s="62" t="n">
        <v>14</v>
      </c>
      <c r="B271" s="63" t="n">
        <v>8.12</v>
      </c>
      <c r="C271" s="66" t="n">
        <v>35.38</v>
      </c>
      <c r="D271" s="62" t="s">
        <v>9</v>
      </c>
    </row>
    <row r="272" customFormat="false" ht="15.75" hidden="false" customHeight="true" outlineLevel="0" collapsed="false">
      <c r="A272" s="62" t="n">
        <v>27</v>
      </c>
      <c r="B272" s="63" t="n">
        <v>9.78</v>
      </c>
      <c r="C272" s="66" t="n">
        <v>109.79</v>
      </c>
      <c r="D272" s="62" t="s">
        <v>9</v>
      </c>
    </row>
    <row r="273" customFormat="false" ht="15.75" hidden="false" customHeight="true" outlineLevel="0" collapsed="false">
      <c r="A273" s="62" t="n">
        <v>30</v>
      </c>
      <c r="B273" s="63" t="n">
        <v>6.15</v>
      </c>
      <c r="C273" s="66" t="n">
        <v>48.99</v>
      </c>
      <c r="D273" s="62" t="s">
        <v>9</v>
      </c>
    </row>
    <row r="274" customFormat="false" ht="15.75" hidden="false" customHeight="true" outlineLevel="0" collapsed="false">
      <c r="A274" s="62" t="n">
        <v>42</v>
      </c>
      <c r="B274" s="63" t="n">
        <v>7.33</v>
      </c>
      <c r="C274" s="66" t="n">
        <v>84.13</v>
      </c>
      <c r="D274" s="62" t="s">
        <v>9</v>
      </c>
    </row>
    <row r="275" customFormat="false" ht="15.75" hidden="false" customHeight="true" outlineLevel="0" collapsed="false">
      <c r="A275" s="62" t="n">
        <v>34</v>
      </c>
      <c r="B275" s="63" t="n">
        <v>5.59</v>
      </c>
      <c r="C275" s="66" t="n">
        <v>58.41</v>
      </c>
      <c r="D275" s="62" t="s">
        <v>9</v>
      </c>
    </row>
    <row r="276" customFormat="false" ht="15.75" hidden="false" customHeight="true" outlineLevel="0" collapsed="false">
      <c r="A276" s="62" t="n">
        <v>3</v>
      </c>
      <c r="B276" s="63" t="n">
        <v>5.1</v>
      </c>
      <c r="C276" s="66" t="n">
        <v>38.1</v>
      </c>
      <c r="D276" s="62" t="s">
        <v>9</v>
      </c>
    </row>
    <row r="277" customFormat="false" ht="15.75" hidden="false" customHeight="true" outlineLevel="0" collapsed="false">
      <c r="A277" s="62" t="n">
        <v>14</v>
      </c>
      <c r="B277" s="63" t="n">
        <v>7.73</v>
      </c>
      <c r="C277" s="66" t="n">
        <v>66.22</v>
      </c>
      <c r="D277" s="62" t="s">
        <v>9</v>
      </c>
    </row>
    <row r="278" customFormat="false" ht="15.75" hidden="false" customHeight="true" outlineLevel="0" collapsed="false">
      <c r="A278" s="62" t="n">
        <v>32</v>
      </c>
      <c r="B278" s="63" t="n">
        <v>9.74</v>
      </c>
      <c r="C278" s="66" t="n">
        <v>89.32</v>
      </c>
      <c r="D278" s="62" t="s">
        <v>9</v>
      </c>
    </row>
    <row r="279" customFormat="false" ht="15.75" hidden="false" customHeight="true" outlineLevel="0" collapsed="false">
      <c r="A279" s="62" t="n">
        <v>6</v>
      </c>
      <c r="B279" s="63" t="n">
        <v>7.33</v>
      </c>
      <c r="C279" s="66" t="n">
        <v>71.6</v>
      </c>
      <c r="D279" s="62" t="s">
        <v>9</v>
      </c>
    </row>
    <row r="280" customFormat="false" ht="15.75" hidden="false" customHeight="true" outlineLevel="0" collapsed="false">
      <c r="A280" s="62" t="n">
        <v>38</v>
      </c>
      <c r="B280" s="63" t="n">
        <v>9.88</v>
      </c>
      <c r="C280" s="66" t="n">
        <v>51.89</v>
      </c>
      <c r="D280" s="62" t="s">
        <v>9</v>
      </c>
    </row>
    <row r="281" customFormat="false" ht="15.75" hidden="false" customHeight="true" outlineLevel="0" collapsed="false">
      <c r="A281" s="62" t="n">
        <v>7</v>
      </c>
      <c r="B281" s="63" t="n">
        <v>8.17</v>
      </c>
      <c r="C281" s="66" t="n">
        <v>65.26</v>
      </c>
      <c r="D281" s="62" t="s">
        <v>9</v>
      </c>
    </row>
    <row r="282" customFormat="false" ht="15.75" hidden="false" customHeight="true" outlineLevel="0" collapsed="false">
      <c r="A282" s="62" t="n">
        <v>42</v>
      </c>
      <c r="B282" s="63" t="n">
        <v>6.71</v>
      </c>
      <c r="C282" s="66" t="n">
        <v>70.74</v>
      </c>
      <c r="D282" s="62" t="s">
        <v>9</v>
      </c>
    </row>
    <row r="283" customFormat="false" ht="15.75" hidden="false" customHeight="true" outlineLevel="0" collapsed="false">
      <c r="A283" s="62" t="n">
        <v>24</v>
      </c>
      <c r="B283" s="63" t="n">
        <v>6.85</v>
      </c>
      <c r="C283" s="66" t="n">
        <v>62.56</v>
      </c>
      <c r="D283" s="62" t="s">
        <v>9</v>
      </c>
    </row>
    <row r="284" customFormat="false" ht="15.75" hidden="false" customHeight="true" outlineLevel="0" collapsed="false">
      <c r="A284" s="62" t="n">
        <v>12</v>
      </c>
      <c r="B284" s="63" t="n">
        <v>5.61</v>
      </c>
      <c r="C284" s="66" t="n">
        <v>83.08</v>
      </c>
      <c r="D284" s="62" t="s">
        <v>9</v>
      </c>
    </row>
    <row r="285" customFormat="false" ht="15.75" hidden="false" customHeight="true" outlineLevel="0" collapsed="false">
      <c r="A285" s="62" t="n">
        <v>33</v>
      </c>
      <c r="B285" s="63" t="n">
        <v>8.62</v>
      </c>
      <c r="C285" s="66" t="n">
        <v>71.04</v>
      </c>
      <c r="D285" s="62" t="s">
        <v>9</v>
      </c>
    </row>
    <row r="286" customFormat="false" ht="15.75" hidden="false" customHeight="true" outlineLevel="0" collapsed="false">
      <c r="A286" s="62" t="n">
        <v>1</v>
      </c>
      <c r="B286" s="63" t="n">
        <v>6.73</v>
      </c>
      <c r="C286" s="66" t="n">
        <v>44.64</v>
      </c>
      <c r="D286" s="62" t="s">
        <v>9</v>
      </c>
    </row>
    <row r="287" customFormat="false" ht="15.75" hidden="false" customHeight="true" outlineLevel="0" collapsed="false">
      <c r="A287" s="62" t="n">
        <v>30</v>
      </c>
      <c r="B287" s="63" t="n">
        <v>8.27</v>
      </c>
      <c r="C287" s="66" t="n">
        <v>46.56</v>
      </c>
      <c r="D287" s="62" t="s">
        <v>9</v>
      </c>
    </row>
    <row r="288" customFormat="false" ht="15.75" hidden="false" customHeight="true" outlineLevel="0" collapsed="false">
      <c r="A288" s="62" t="n">
        <v>43</v>
      </c>
      <c r="B288" s="63" t="n">
        <v>7</v>
      </c>
      <c r="C288" s="66" t="n">
        <v>38.09</v>
      </c>
      <c r="D288" s="62" t="s">
        <v>9</v>
      </c>
    </row>
    <row r="289" customFormat="false" ht="15.75" hidden="false" customHeight="true" outlineLevel="0" collapsed="false">
      <c r="A289" s="62" t="n">
        <v>49</v>
      </c>
      <c r="B289" s="63" t="n">
        <v>6.69</v>
      </c>
      <c r="C289" s="66" t="n">
        <v>66.43</v>
      </c>
      <c r="D289" s="62" t="s">
        <v>9</v>
      </c>
    </row>
    <row r="290" customFormat="false" ht="15.75" hidden="false" customHeight="true" outlineLevel="0" collapsed="false">
      <c r="A290" s="62" t="n">
        <v>2</v>
      </c>
      <c r="B290" s="63" t="n">
        <v>7.76</v>
      </c>
      <c r="C290" s="66" t="n">
        <v>36.99</v>
      </c>
      <c r="D290" s="62" t="s">
        <v>9</v>
      </c>
    </row>
    <row r="291" customFormat="false" ht="15.75" hidden="false" customHeight="true" outlineLevel="0" collapsed="false">
      <c r="A291" s="62" t="n">
        <v>53</v>
      </c>
      <c r="B291" s="63" t="n">
        <v>8.05</v>
      </c>
      <c r="C291" s="66" t="n">
        <v>99.96</v>
      </c>
      <c r="D291" s="62" t="s">
        <v>9</v>
      </c>
    </row>
    <row r="292" customFormat="false" ht="15.75" hidden="false" customHeight="true" outlineLevel="0" collapsed="false">
      <c r="A292" s="62" t="n">
        <v>9</v>
      </c>
      <c r="B292" s="63" t="n">
        <v>6.81</v>
      </c>
      <c r="C292" s="66" t="n">
        <v>70.04</v>
      </c>
      <c r="D292" s="62" t="s">
        <v>9</v>
      </c>
    </row>
    <row r="293" customFormat="false" ht="15.75" hidden="false" customHeight="true" outlineLevel="0" collapsed="false">
      <c r="A293" s="62" t="n">
        <v>24</v>
      </c>
      <c r="B293" s="63" t="n">
        <v>9.31</v>
      </c>
      <c r="C293" s="66" t="n">
        <v>77.76</v>
      </c>
      <c r="D293" s="62" t="s">
        <v>9</v>
      </c>
    </row>
    <row r="294" customFormat="false" ht="15.75" hidden="false" customHeight="true" outlineLevel="0" collapsed="false">
      <c r="A294" s="62" t="n">
        <v>27</v>
      </c>
      <c r="B294" s="63" t="n">
        <v>4.11</v>
      </c>
      <c r="C294" s="66" t="n">
        <v>36.31</v>
      </c>
      <c r="D294" s="62" t="s">
        <v>9</v>
      </c>
    </row>
    <row r="295" customFormat="false" ht="15.75" hidden="false" customHeight="true" outlineLevel="0" collapsed="false">
      <c r="A295" s="62" t="n">
        <v>18</v>
      </c>
      <c r="B295" s="63" t="n">
        <v>7.57</v>
      </c>
      <c r="C295" s="66" t="n">
        <v>73.78</v>
      </c>
      <c r="D295" s="62" t="s">
        <v>9</v>
      </c>
    </row>
    <row r="296" customFormat="false" ht="15.75" hidden="false" customHeight="true" outlineLevel="0" collapsed="false">
      <c r="A296" s="62" t="n">
        <v>30</v>
      </c>
      <c r="B296" s="63" t="n">
        <v>8.44</v>
      </c>
      <c r="C296" s="66" t="n">
        <v>64.36</v>
      </c>
      <c r="D296" s="62" t="s">
        <v>9</v>
      </c>
    </row>
    <row r="297" customFormat="false" ht="15.75" hidden="false" customHeight="true" outlineLevel="0" collapsed="false">
      <c r="A297" s="62" t="n">
        <v>20</v>
      </c>
      <c r="B297" s="63" t="n">
        <v>7.69</v>
      </c>
      <c r="C297" s="66" t="n">
        <v>57.42</v>
      </c>
      <c r="D297" s="62" t="s">
        <v>9</v>
      </c>
    </row>
    <row r="298" customFormat="false" ht="15.75" hidden="false" customHeight="true" outlineLevel="0" collapsed="false">
      <c r="A298" s="62" t="n">
        <v>20</v>
      </c>
      <c r="B298" s="63" t="n">
        <v>5.88</v>
      </c>
      <c r="C298" s="66" t="n">
        <v>63.1</v>
      </c>
      <c r="D298" s="62" t="s">
        <v>9</v>
      </c>
    </row>
    <row r="299" customFormat="false" ht="15.75" hidden="false" customHeight="true" outlineLevel="0" collapsed="false">
      <c r="A299" s="62" t="n">
        <v>23</v>
      </c>
      <c r="B299" s="63" t="n">
        <v>7.55</v>
      </c>
      <c r="C299" s="66" t="n">
        <v>92.22</v>
      </c>
      <c r="D299" s="62" t="s">
        <v>9</v>
      </c>
    </row>
    <row r="300" customFormat="false" ht="15.75" hidden="false" customHeight="true" outlineLevel="0" collapsed="false">
      <c r="A300" s="62" t="n">
        <v>24</v>
      </c>
      <c r="B300" s="63" t="n">
        <v>5.61</v>
      </c>
      <c r="C300" s="66" t="n">
        <v>63.19</v>
      </c>
      <c r="D300" s="62" t="s">
        <v>9</v>
      </c>
    </row>
    <row r="301" customFormat="false" ht="15.75" hidden="false" customHeight="true" outlineLevel="0" collapsed="false">
      <c r="A301" s="62" t="n">
        <v>26</v>
      </c>
      <c r="B301" s="63" t="n">
        <v>5.3</v>
      </c>
      <c r="C301" s="66" t="n">
        <v>30.67</v>
      </c>
      <c r="D301" s="62" t="s">
        <v>9</v>
      </c>
    </row>
    <row r="302" customFormat="false" ht="15.75" hidden="false" customHeight="true" outlineLevel="0" collapsed="false">
      <c r="A302" s="62" t="n">
        <v>31</v>
      </c>
      <c r="B302" s="63" t="n">
        <v>8.94</v>
      </c>
      <c r="C302" s="66" t="n">
        <v>49.92</v>
      </c>
      <c r="D302" s="62" t="s">
        <v>9</v>
      </c>
    </row>
    <row r="303" customFormat="false" ht="15.75" hidden="false" customHeight="true" outlineLevel="0" collapsed="false">
      <c r="A303" s="62" t="n">
        <v>28</v>
      </c>
      <c r="B303" s="63" t="n">
        <v>4.14</v>
      </c>
      <c r="C303" s="66" t="n">
        <v>22.54</v>
      </c>
      <c r="D303" s="62" t="s">
        <v>9</v>
      </c>
    </row>
    <row r="304" customFormat="false" ht="15.75" hidden="false" customHeight="true" outlineLevel="0" collapsed="false">
      <c r="A304" s="62" t="n">
        <v>20</v>
      </c>
      <c r="B304" s="63" t="n">
        <v>6.68</v>
      </c>
      <c r="C304" s="66" t="n">
        <v>74.41</v>
      </c>
      <c r="D304" s="62" t="s">
        <v>9</v>
      </c>
    </row>
    <row r="305" customFormat="false" ht="15.75" hidden="false" customHeight="true" outlineLevel="0" collapsed="false">
      <c r="A305" s="62" t="n">
        <v>35</v>
      </c>
      <c r="B305" s="63" t="n">
        <v>8.08</v>
      </c>
      <c r="C305" s="66" t="n">
        <v>53.62</v>
      </c>
      <c r="D305" s="62" t="s">
        <v>9</v>
      </c>
    </row>
    <row r="306" customFormat="false" ht="15.75" hidden="false" customHeight="true" outlineLevel="0" collapsed="false">
      <c r="A306" s="62" t="n">
        <v>35</v>
      </c>
      <c r="B306" s="63" t="n">
        <v>6.33</v>
      </c>
      <c r="C306" s="66" t="n">
        <v>47.69</v>
      </c>
      <c r="D306" s="62" t="s">
        <v>9</v>
      </c>
    </row>
    <row r="307" customFormat="false" ht="15.75" hidden="false" customHeight="true" outlineLevel="0" collapsed="false">
      <c r="A307" s="62" t="n">
        <v>16</v>
      </c>
      <c r="B307" s="63" t="n">
        <v>9.99</v>
      </c>
      <c r="C307" s="66" t="n">
        <v>64.83</v>
      </c>
      <c r="D307" s="62" t="s">
        <v>9</v>
      </c>
    </row>
    <row r="308" customFormat="false" ht="15.75" hidden="false" customHeight="true" outlineLevel="0" collapsed="false">
      <c r="A308" s="62" t="n">
        <v>4</v>
      </c>
      <c r="B308" s="63" t="n">
        <v>5.83</v>
      </c>
      <c r="C308" s="66" t="n">
        <v>56.59</v>
      </c>
      <c r="D308" s="62" t="s">
        <v>9</v>
      </c>
    </row>
    <row r="309" customFormat="false" ht="15.75" hidden="false" customHeight="true" outlineLevel="0" collapsed="false">
      <c r="A309" s="62" t="n">
        <v>2</v>
      </c>
      <c r="B309" s="63" t="n">
        <v>8.54</v>
      </c>
      <c r="C309" s="66" t="n">
        <v>86.36</v>
      </c>
      <c r="D309" s="62" t="s">
        <v>9</v>
      </c>
    </row>
    <row r="310" customFormat="false" ht="15.75" hidden="false" customHeight="true" outlineLevel="0" collapsed="false">
      <c r="A310" s="62" t="n">
        <v>30</v>
      </c>
      <c r="B310" s="63" t="n">
        <v>7.18</v>
      </c>
      <c r="C310" s="66" t="n">
        <v>22.58</v>
      </c>
      <c r="D310" s="62" t="s">
        <v>9</v>
      </c>
    </row>
    <row r="311" customFormat="false" ht="15.75" hidden="false" customHeight="true" outlineLevel="0" collapsed="false">
      <c r="A311" s="62" t="n">
        <v>32</v>
      </c>
      <c r="B311" s="63" t="n">
        <v>8.8</v>
      </c>
      <c r="C311" s="66" t="n">
        <v>115.37</v>
      </c>
      <c r="D311" s="62" t="s">
        <v>9</v>
      </c>
    </row>
    <row r="312" customFormat="false" ht="15.75" hidden="false" customHeight="true" outlineLevel="0" collapsed="false">
      <c r="A312" s="62" t="n">
        <v>35</v>
      </c>
      <c r="B312" s="63" t="n">
        <v>9.33</v>
      </c>
      <c r="C312" s="66" t="n">
        <v>84.48</v>
      </c>
      <c r="D312" s="62" t="s">
        <v>9</v>
      </c>
    </row>
    <row r="313" customFormat="false" ht="15.75" hidden="false" customHeight="true" outlineLevel="0" collapsed="false">
      <c r="A313" s="62" t="n">
        <v>15</v>
      </c>
      <c r="B313" s="63" t="n">
        <v>8.98</v>
      </c>
      <c r="C313" s="66" t="n">
        <v>47.37</v>
      </c>
      <c r="D313" s="62" t="s">
        <v>9</v>
      </c>
    </row>
    <row r="314" customFormat="false" ht="15.75" hidden="false" customHeight="true" outlineLevel="0" collapsed="false">
      <c r="A314" s="62" t="n">
        <v>18</v>
      </c>
      <c r="B314" s="63" t="n">
        <v>6.84</v>
      </c>
      <c r="C314" s="66" t="n">
        <v>81.88</v>
      </c>
      <c r="D314" s="62" t="s">
        <v>9</v>
      </c>
    </row>
    <row r="315" customFormat="false" ht="15.75" hidden="false" customHeight="true" outlineLevel="0" collapsed="false">
      <c r="A315" s="62" t="n">
        <v>5</v>
      </c>
      <c r="B315" s="63" t="n">
        <v>7.66</v>
      </c>
      <c r="C315" s="66" t="n">
        <v>69.1</v>
      </c>
      <c r="D315" s="62" t="s">
        <v>9</v>
      </c>
    </row>
    <row r="316" customFormat="false" ht="15.75" hidden="false" customHeight="true" outlineLevel="0" collapsed="false">
      <c r="A316" s="62" t="n">
        <v>1</v>
      </c>
      <c r="B316" s="63" t="n">
        <v>7.93</v>
      </c>
      <c r="C316" s="66" t="n">
        <v>53.17</v>
      </c>
      <c r="D316" s="62" t="s">
        <v>9</v>
      </c>
    </row>
    <row r="317" customFormat="false" ht="15.75" hidden="false" customHeight="true" outlineLevel="0" collapsed="false">
      <c r="A317" s="62" t="n">
        <v>24</v>
      </c>
      <c r="B317" s="63" t="n">
        <v>4</v>
      </c>
      <c r="C317" s="66" t="n">
        <v>58.99</v>
      </c>
      <c r="D317" s="62" t="s">
        <v>9</v>
      </c>
    </row>
    <row r="318" customFormat="false" ht="15.75" hidden="false" customHeight="true" outlineLevel="0" collapsed="false">
      <c r="A318" s="62" t="n">
        <v>25</v>
      </c>
      <c r="B318" s="63" t="n">
        <v>5.97</v>
      </c>
      <c r="C318" s="66" t="n">
        <v>49.48</v>
      </c>
      <c r="D318" s="62" t="s">
        <v>9</v>
      </c>
    </row>
    <row r="319" customFormat="false" ht="15.75" hidden="false" customHeight="true" outlineLevel="0" collapsed="false">
      <c r="A319" s="62" t="n">
        <v>46</v>
      </c>
      <c r="B319" s="63" t="n">
        <v>5.45</v>
      </c>
      <c r="C319" s="66" t="n">
        <v>53</v>
      </c>
      <c r="D319" s="62" t="s">
        <v>9</v>
      </c>
    </row>
    <row r="320" customFormat="false" ht="15.75" hidden="false" customHeight="true" outlineLevel="0" collapsed="false">
      <c r="A320" s="62" t="n">
        <v>20</v>
      </c>
      <c r="B320" s="63" t="n">
        <v>4.78</v>
      </c>
      <c r="C320" s="66" t="n">
        <v>76.27</v>
      </c>
      <c r="D320" s="62" t="s">
        <v>9</v>
      </c>
    </row>
    <row r="321" customFormat="false" ht="15.75" hidden="false" customHeight="true" outlineLevel="0" collapsed="false">
      <c r="A321" s="62" t="n">
        <v>48</v>
      </c>
      <c r="B321" s="63" t="n">
        <v>5.53</v>
      </c>
      <c r="C321" s="66" t="n">
        <v>61.26</v>
      </c>
      <c r="D321" s="62" t="s">
        <v>9</v>
      </c>
    </row>
    <row r="322" customFormat="false" ht="15.75" hidden="false" customHeight="true" outlineLevel="0" collapsed="false">
      <c r="A322" s="62" t="n">
        <v>17</v>
      </c>
      <c r="B322" s="63" t="n">
        <v>9.17</v>
      </c>
      <c r="C322" s="66" t="n">
        <v>59.62</v>
      </c>
      <c r="D322" s="62" t="s">
        <v>9</v>
      </c>
    </row>
    <row r="323" customFormat="false" ht="15.75" hidden="false" customHeight="true" outlineLevel="0" collapsed="false">
      <c r="A323" s="62" t="n">
        <v>35</v>
      </c>
      <c r="B323" s="63" t="n">
        <v>5.05</v>
      </c>
      <c r="C323" s="66" t="n">
        <v>74.09</v>
      </c>
      <c r="D323" s="62" t="s">
        <v>9</v>
      </c>
    </row>
    <row r="324" customFormat="false" ht="15.75" hidden="false" customHeight="true" outlineLevel="0" collapsed="false">
      <c r="A324" s="62" t="n">
        <v>30</v>
      </c>
      <c r="B324" s="63" t="n">
        <v>8.6</v>
      </c>
      <c r="C324" s="66" t="n">
        <v>42.69</v>
      </c>
      <c r="D324" s="62" t="s">
        <v>9</v>
      </c>
    </row>
    <row r="325" customFormat="false" ht="15.75" hidden="false" customHeight="true" outlineLevel="0" collapsed="false">
      <c r="A325" s="62" t="n">
        <v>19</v>
      </c>
      <c r="B325" s="63" t="n">
        <v>6.41</v>
      </c>
      <c r="C325" s="66" t="n">
        <v>26.77</v>
      </c>
      <c r="D325" s="62" t="s">
        <v>9</v>
      </c>
    </row>
    <row r="326" customFormat="false" ht="15.75" hidden="false" customHeight="true" outlineLevel="0" collapsed="false">
      <c r="A326" s="62" t="n">
        <v>15</v>
      </c>
      <c r="B326" s="63" t="n">
        <v>9.25</v>
      </c>
      <c r="C326" s="66" t="n">
        <v>82.31</v>
      </c>
      <c r="D326" s="62" t="s">
        <v>9</v>
      </c>
    </row>
    <row r="327" customFormat="false" ht="15.75" hidden="false" customHeight="true" outlineLevel="0" collapsed="false">
      <c r="A327" s="62" t="n">
        <v>48</v>
      </c>
      <c r="B327" s="63" t="n">
        <v>6.78</v>
      </c>
      <c r="C327" s="66" t="n">
        <v>73.25</v>
      </c>
      <c r="D327" s="62" t="s">
        <v>9</v>
      </c>
    </row>
    <row r="328" customFormat="false" ht="15.75" hidden="false" customHeight="true" outlineLevel="0" collapsed="false">
      <c r="A328" s="62" t="n">
        <v>13</v>
      </c>
      <c r="B328" s="63" t="n">
        <v>5.42</v>
      </c>
      <c r="C328" s="66" t="n">
        <v>35.58</v>
      </c>
      <c r="D328" s="62" t="s">
        <v>9</v>
      </c>
    </row>
    <row r="329" customFormat="false" ht="15.75" hidden="false" customHeight="true" outlineLevel="0" collapsed="false">
      <c r="A329" s="62" t="n">
        <v>25</v>
      </c>
      <c r="B329" s="63" t="n">
        <v>7.37</v>
      </c>
      <c r="C329" s="66" t="n">
        <v>19.02</v>
      </c>
      <c r="D329" s="62" t="s">
        <v>9</v>
      </c>
    </row>
    <row r="330" customFormat="false" ht="15.75" hidden="false" customHeight="true" outlineLevel="0" collapsed="false">
      <c r="A330" s="62" t="n">
        <v>15</v>
      </c>
      <c r="B330" s="63" t="n">
        <v>4.96</v>
      </c>
      <c r="C330" s="66" t="n">
        <v>76.37</v>
      </c>
      <c r="D330" s="62" t="s">
        <v>9</v>
      </c>
    </row>
    <row r="331" customFormat="false" ht="15.75" hidden="false" customHeight="true" outlineLevel="0" collapsed="false">
      <c r="A331" s="62" t="n">
        <v>21</v>
      </c>
      <c r="B331" s="63" t="n">
        <v>7.27</v>
      </c>
      <c r="C331" s="66" t="n">
        <v>64.69</v>
      </c>
      <c r="D331" s="62" t="s">
        <v>9</v>
      </c>
    </row>
    <row r="332" customFormat="false" ht="15.75" hidden="false" customHeight="true" outlineLevel="0" collapsed="false">
      <c r="A332" s="62" t="n">
        <v>32</v>
      </c>
      <c r="B332" s="63" t="n">
        <v>6.31</v>
      </c>
      <c r="C332" s="66" t="n">
        <v>21.73</v>
      </c>
      <c r="D332" s="62" t="s">
        <v>9</v>
      </c>
    </row>
    <row r="333" customFormat="false" ht="15.75" hidden="false" customHeight="true" outlineLevel="0" collapsed="false">
      <c r="A333" s="62" t="n">
        <v>26</v>
      </c>
      <c r="B333" s="63" t="n">
        <v>8.91</v>
      </c>
      <c r="C333" s="66" t="n">
        <v>47.3</v>
      </c>
      <c r="D333" s="62" t="s">
        <v>9</v>
      </c>
    </row>
    <row r="334" customFormat="false" ht="15.75" hidden="false" customHeight="true" outlineLevel="0" collapsed="false">
      <c r="A334" s="62" t="n">
        <v>28</v>
      </c>
      <c r="B334" s="63" t="n">
        <v>9.87</v>
      </c>
      <c r="C334" s="66" t="n">
        <v>77.92</v>
      </c>
      <c r="D334" s="62" t="s">
        <v>9</v>
      </c>
    </row>
    <row r="335" customFormat="false" ht="15.75" hidden="false" customHeight="true" outlineLevel="0" collapsed="false">
      <c r="A335" s="62" t="n">
        <v>5</v>
      </c>
      <c r="B335" s="63" t="n">
        <v>4.24</v>
      </c>
      <c r="C335" s="66" t="n">
        <v>57.95</v>
      </c>
      <c r="D335" s="62" t="s">
        <v>9</v>
      </c>
    </row>
    <row r="336" customFormat="false" ht="15.75" hidden="false" customHeight="true" outlineLevel="0" collapsed="false">
      <c r="A336" s="62" t="n">
        <v>21</v>
      </c>
      <c r="B336" s="63" t="n">
        <v>4.2</v>
      </c>
      <c r="C336" s="66" t="n">
        <v>44.29</v>
      </c>
      <c r="D336" s="62" t="s">
        <v>9</v>
      </c>
    </row>
    <row r="337" customFormat="false" ht="15.75" hidden="false" customHeight="true" outlineLevel="0" collapsed="false">
      <c r="A337" s="62" t="n">
        <v>35</v>
      </c>
      <c r="B337" s="63" t="n">
        <v>5.58</v>
      </c>
      <c r="C337" s="66" t="n">
        <v>74.44</v>
      </c>
      <c r="D337" s="62" t="s">
        <v>9</v>
      </c>
    </row>
    <row r="338" customFormat="false" ht="15.75" hidden="false" customHeight="true" outlineLevel="0" collapsed="false">
      <c r="A338" s="62" t="n">
        <v>9</v>
      </c>
      <c r="B338" s="63" t="n">
        <v>5.68</v>
      </c>
      <c r="C338" s="66" t="n">
        <v>47.5</v>
      </c>
      <c r="D338" s="62" t="s">
        <v>9</v>
      </c>
    </row>
    <row r="339" customFormat="false" ht="15.75" hidden="false" customHeight="true" outlineLevel="0" collapsed="false">
      <c r="A339" s="62" t="n">
        <v>15</v>
      </c>
      <c r="B339" s="63" t="n">
        <v>9.69</v>
      </c>
      <c r="C339" s="66" t="n">
        <v>100.72</v>
      </c>
      <c r="D339" s="62" t="s">
        <v>9</v>
      </c>
    </row>
    <row r="340" customFormat="false" ht="15.75" hidden="false" customHeight="true" outlineLevel="0" collapsed="false">
      <c r="A340" s="62" t="n">
        <v>36</v>
      </c>
      <c r="B340" s="63" t="n">
        <v>8.11</v>
      </c>
      <c r="C340" s="66" t="n">
        <v>81.53</v>
      </c>
      <c r="D340" s="62" t="s">
        <v>9</v>
      </c>
    </row>
    <row r="341" customFormat="false" ht="15.75" hidden="false" customHeight="true" outlineLevel="0" collapsed="false">
      <c r="A341" s="62" t="n">
        <v>20</v>
      </c>
      <c r="B341" s="63" t="n">
        <v>5.1</v>
      </c>
      <c r="C341" s="66" t="n">
        <v>58.17</v>
      </c>
      <c r="D341" s="62" t="s">
        <v>9</v>
      </c>
    </row>
    <row r="342" customFormat="false" ht="15.75" hidden="false" customHeight="true" outlineLevel="0" collapsed="false">
      <c r="A342" s="62" t="n">
        <v>20</v>
      </c>
      <c r="B342" s="63" t="n">
        <v>8.35</v>
      </c>
      <c r="C342" s="66" t="n">
        <v>41.23</v>
      </c>
      <c r="D342" s="62" t="s">
        <v>9</v>
      </c>
    </row>
    <row r="343" customFormat="false" ht="15.75" hidden="false" customHeight="true" outlineLevel="0" collapsed="false">
      <c r="A343" s="62" t="n">
        <v>41</v>
      </c>
      <c r="B343" s="63" t="n">
        <v>5.74</v>
      </c>
      <c r="C343" s="66" t="n">
        <v>77.32</v>
      </c>
      <c r="D343" s="62" t="s">
        <v>9</v>
      </c>
    </row>
    <row r="344" customFormat="false" ht="15.75" hidden="false" customHeight="true" outlineLevel="0" collapsed="false">
      <c r="A344" s="62" t="n">
        <v>5</v>
      </c>
      <c r="B344" s="63" t="n">
        <v>6.85</v>
      </c>
      <c r="C344" s="66" t="n">
        <v>54.74</v>
      </c>
      <c r="D344" s="62" t="s">
        <v>9</v>
      </c>
    </row>
    <row r="345" customFormat="false" ht="15.75" hidden="false" customHeight="true" outlineLevel="0" collapsed="false">
      <c r="A345" s="62" t="n">
        <v>7</v>
      </c>
      <c r="B345" s="63" t="n">
        <v>9.5</v>
      </c>
      <c r="C345" s="66" t="n">
        <v>47.91</v>
      </c>
      <c r="D345" s="62" t="s">
        <v>9</v>
      </c>
    </row>
    <row r="346" customFormat="false" ht="15.75" hidden="false" customHeight="true" outlineLevel="0" collapsed="false">
      <c r="A346" s="62" t="n">
        <v>48</v>
      </c>
      <c r="B346" s="63" t="n">
        <v>5.86</v>
      </c>
      <c r="C346" s="66" t="n">
        <v>77.99</v>
      </c>
      <c r="D346" s="62" t="s">
        <v>9</v>
      </c>
    </row>
    <row r="347" customFormat="false" ht="15.75" hidden="false" customHeight="true" outlineLevel="0" collapsed="false">
      <c r="A347" s="62" t="n">
        <v>27</v>
      </c>
      <c r="B347" s="63" t="n">
        <v>6.5</v>
      </c>
      <c r="C347" s="66" t="n">
        <v>44.27</v>
      </c>
      <c r="D347" s="62" t="s">
        <v>9</v>
      </c>
    </row>
    <row r="348" customFormat="false" ht="15.75" hidden="false" customHeight="true" outlineLevel="0" collapsed="false">
      <c r="A348" s="62" t="n">
        <v>44</v>
      </c>
      <c r="B348" s="63" t="n">
        <v>8.79</v>
      </c>
      <c r="C348" s="66" t="n">
        <v>91.53</v>
      </c>
      <c r="D348" s="62" t="s">
        <v>9</v>
      </c>
    </row>
    <row r="349" customFormat="false" ht="15.75" hidden="false" customHeight="true" outlineLevel="0" collapsed="false">
      <c r="A349" s="62" t="n">
        <v>36</v>
      </c>
      <c r="B349" s="63" t="n">
        <v>6.71</v>
      </c>
      <c r="C349" s="66" t="n">
        <v>40.14</v>
      </c>
      <c r="D349" s="62" t="s">
        <v>9</v>
      </c>
    </row>
    <row r="350" customFormat="false" ht="15.75" hidden="false" customHeight="true" outlineLevel="0" collapsed="false">
      <c r="A350" s="62" t="n">
        <v>10</v>
      </c>
      <c r="B350" s="63" t="n">
        <v>7.27</v>
      </c>
      <c r="C350" s="66" t="n">
        <v>62.96</v>
      </c>
      <c r="D350" s="62" t="s">
        <v>9</v>
      </c>
    </row>
    <row r="351" customFormat="false" ht="15.75" hidden="false" customHeight="true" outlineLevel="0" collapsed="false">
      <c r="A351" s="62" t="n">
        <v>29</v>
      </c>
      <c r="B351" s="63" t="n">
        <v>6.91</v>
      </c>
      <c r="C351" s="66" t="n">
        <v>76.37</v>
      </c>
      <c r="D351" s="62" t="s">
        <v>9</v>
      </c>
    </row>
    <row r="352" customFormat="false" ht="15.75" hidden="false" customHeight="true" outlineLevel="0" collapsed="false">
      <c r="A352" s="62" t="n">
        <v>36</v>
      </c>
      <c r="B352" s="63" t="n">
        <v>6.94</v>
      </c>
      <c r="C352" s="66" t="n">
        <v>85.29</v>
      </c>
      <c r="D352" s="62" t="s">
        <v>9</v>
      </c>
    </row>
    <row r="353" customFormat="false" ht="15.75" hidden="false" customHeight="true" outlineLevel="0" collapsed="false">
      <c r="A353" s="62" t="n">
        <v>17</v>
      </c>
      <c r="B353" s="63" t="n">
        <v>5.24</v>
      </c>
      <c r="C353" s="66" t="n">
        <v>42.46</v>
      </c>
      <c r="D353" s="62" t="s">
        <v>9</v>
      </c>
    </row>
    <row r="354" customFormat="false" ht="15.75" hidden="false" customHeight="true" outlineLevel="0" collapsed="false">
      <c r="A354" s="62" t="n">
        <v>9</v>
      </c>
      <c r="B354" s="63" t="n">
        <v>4.44</v>
      </c>
      <c r="C354" s="66" t="n">
        <v>34.41</v>
      </c>
      <c r="D354" s="62" t="s">
        <v>9</v>
      </c>
    </row>
    <row r="355" customFormat="false" ht="15.75" hidden="false" customHeight="true" outlineLevel="0" collapsed="false">
      <c r="A355" s="62" t="n">
        <v>28</v>
      </c>
      <c r="B355" s="63" t="n">
        <v>7.58</v>
      </c>
      <c r="C355" s="66" t="n">
        <v>54.71</v>
      </c>
      <c r="D355" s="62" t="s">
        <v>9</v>
      </c>
    </row>
    <row r="356" customFormat="false" ht="15.75" hidden="false" customHeight="true" outlineLevel="0" collapsed="false">
      <c r="A356" s="62" t="n">
        <v>16</v>
      </c>
      <c r="B356" s="63" t="n">
        <v>9.04</v>
      </c>
      <c r="C356" s="66" t="n">
        <v>89.08</v>
      </c>
      <c r="D356" s="62" t="s">
        <v>9</v>
      </c>
    </row>
    <row r="357" customFormat="false" ht="15.75" hidden="false" customHeight="true" outlineLevel="0" collapsed="false">
      <c r="A357" s="62" t="n">
        <v>20</v>
      </c>
      <c r="B357" s="63" t="n">
        <v>7.84</v>
      </c>
      <c r="C357" s="66" t="n">
        <v>63.91</v>
      </c>
      <c r="D357" s="62" t="s">
        <v>9</v>
      </c>
    </row>
    <row r="358" customFormat="false" ht="15.75" hidden="false" customHeight="true" outlineLevel="0" collapsed="false">
      <c r="A358" s="62" t="n">
        <v>24</v>
      </c>
      <c r="B358" s="63" t="n">
        <v>5.18</v>
      </c>
      <c r="C358" s="66" t="n">
        <v>59.17</v>
      </c>
      <c r="D358" s="62" t="s">
        <v>9</v>
      </c>
    </row>
    <row r="359" customFormat="false" ht="15.75" hidden="false" customHeight="true" outlineLevel="0" collapsed="false">
      <c r="A359" s="62" t="n">
        <v>46</v>
      </c>
      <c r="B359" s="63" t="n">
        <v>8.14</v>
      </c>
      <c r="C359" s="66" t="n">
        <v>74.74</v>
      </c>
      <c r="D359" s="62" t="s">
        <v>9</v>
      </c>
    </row>
    <row r="360" customFormat="false" ht="15.75" hidden="false" customHeight="true" outlineLevel="0" collapsed="false">
      <c r="A360" s="62" t="n">
        <v>9</v>
      </c>
      <c r="B360" s="63" t="n">
        <v>9.57</v>
      </c>
      <c r="C360" s="66" t="n">
        <v>80.03</v>
      </c>
      <c r="D360" s="62" t="s">
        <v>9</v>
      </c>
    </row>
    <row r="361" customFormat="false" ht="15.75" hidden="false" customHeight="true" outlineLevel="0" collapsed="false">
      <c r="A361" s="62" t="n">
        <v>56</v>
      </c>
      <c r="B361" s="63" t="n">
        <v>6.51</v>
      </c>
      <c r="C361" s="66" t="n">
        <v>67.02</v>
      </c>
      <c r="D361" s="62" t="s">
        <v>9</v>
      </c>
    </row>
    <row r="362" customFormat="false" ht="15.75" hidden="false" customHeight="true" outlineLevel="0" collapsed="false">
      <c r="A362" s="62" t="n">
        <v>37</v>
      </c>
      <c r="B362" s="63" t="n">
        <v>8.65</v>
      </c>
      <c r="C362" s="66" t="n">
        <v>91.16</v>
      </c>
      <c r="D362" s="62" t="s">
        <v>9</v>
      </c>
    </row>
    <row r="363" customFormat="false" ht="15.75" hidden="false" customHeight="true" outlineLevel="0" collapsed="false">
      <c r="A363" s="62" t="n">
        <v>22</v>
      </c>
      <c r="B363" s="63" t="n">
        <v>6.09</v>
      </c>
      <c r="C363" s="66" t="n">
        <v>55.31</v>
      </c>
      <c r="D363" s="62" t="s">
        <v>9</v>
      </c>
    </row>
    <row r="364" customFormat="false" ht="15.75" hidden="false" customHeight="true" outlineLevel="0" collapsed="false">
      <c r="A364" s="62" t="n">
        <v>19</v>
      </c>
      <c r="B364" s="63" t="n">
        <v>7.79</v>
      </c>
      <c r="C364" s="66" t="n">
        <v>34.77</v>
      </c>
      <c r="D364" s="62" t="s">
        <v>9</v>
      </c>
    </row>
    <row r="365" customFormat="false" ht="15.75" hidden="false" customHeight="true" outlineLevel="0" collapsed="false">
      <c r="A365" s="62" t="n">
        <v>50</v>
      </c>
      <c r="B365" s="63" t="n">
        <v>5.58</v>
      </c>
      <c r="C365" s="66" t="n">
        <v>24.34</v>
      </c>
      <c r="D365" s="62" t="s">
        <v>9</v>
      </c>
    </row>
    <row r="366" customFormat="false" ht="15.75" hidden="false" customHeight="true" outlineLevel="0" collapsed="false">
      <c r="A366" s="62" t="n">
        <v>32</v>
      </c>
      <c r="B366" s="63" t="n">
        <v>8.68</v>
      </c>
      <c r="C366" s="66" t="n">
        <v>89.26</v>
      </c>
      <c r="D366" s="62" t="s">
        <v>9</v>
      </c>
    </row>
    <row r="367" customFormat="false" ht="15.75" hidden="false" customHeight="true" outlineLevel="0" collapsed="false">
      <c r="A367" s="62" t="n">
        <v>38</v>
      </c>
      <c r="B367" s="63" t="n">
        <v>7.81</v>
      </c>
      <c r="C367" s="66" t="n">
        <v>44.39</v>
      </c>
      <c r="D367" s="62" t="s">
        <v>9</v>
      </c>
    </row>
    <row r="368" customFormat="false" ht="15.75" hidden="false" customHeight="true" outlineLevel="0" collapsed="false">
      <c r="A368" s="62" t="n">
        <v>27</v>
      </c>
      <c r="B368" s="63" t="n">
        <v>5.22</v>
      </c>
      <c r="C368" s="66" t="n">
        <v>28.76</v>
      </c>
      <c r="D368" s="62" t="s">
        <v>9</v>
      </c>
    </row>
    <row r="369" customFormat="false" ht="15.75" hidden="false" customHeight="true" outlineLevel="0" collapsed="false">
      <c r="A369" s="62" t="n">
        <v>14</v>
      </c>
      <c r="B369" s="63" t="n">
        <v>8.6</v>
      </c>
      <c r="C369" s="66" t="n">
        <v>84.49</v>
      </c>
      <c r="D369" s="62" t="s">
        <v>9</v>
      </c>
    </row>
    <row r="370" customFormat="false" ht="15.75" hidden="false" customHeight="true" outlineLevel="0" collapsed="false">
      <c r="A370" s="62" t="n">
        <v>8</v>
      </c>
      <c r="B370" s="63" t="n">
        <v>4.22</v>
      </c>
      <c r="C370" s="66" t="n">
        <v>52.93</v>
      </c>
      <c r="D370" s="62" t="s">
        <v>9</v>
      </c>
    </row>
    <row r="371" customFormat="false" ht="15.75" hidden="false" customHeight="true" outlineLevel="0" collapsed="false">
      <c r="A371" s="62" t="n">
        <v>10</v>
      </c>
      <c r="B371" s="63" t="n">
        <v>6.95</v>
      </c>
      <c r="C371" s="66" t="n">
        <v>87.42</v>
      </c>
      <c r="D371" s="62" t="s">
        <v>9</v>
      </c>
    </row>
    <row r="372" customFormat="false" ht="15.75" hidden="false" customHeight="true" outlineLevel="0" collapsed="false">
      <c r="A372" s="62" t="n">
        <v>26</v>
      </c>
      <c r="B372" s="63" t="n">
        <v>6.82</v>
      </c>
      <c r="C372" s="66" t="n">
        <v>51.97</v>
      </c>
      <c r="D372" s="62" t="s">
        <v>9</v>
      </c>
    </row>
    <row r="373" customFormat="false" ht="15.75" hidden="false" customHeight="true" outlineLevel="0" collapsed="false">
      <c r="A373" s="62" t="n">
        <v>1</v>
      </c>
      <c r="B373" s="63" t="n">
        <v>9.06</v>
      </c>
      <c r="C373" s="66" t="n">
        <v>67.66</v>
      </c>
      <c r="D373" s="62" t="s">
        <v>9</v>
      </c>
    </row>
    <row r="374" customFormat="false" ht="15.75" hidden="false" customHeight="true" outlineLevel="0" collapsed="false">
      <c r="A374" s="62" t="n">
        <v>9</v>
      </c>
      <c r="B374" s="63" t="n">
        <v>6.7</v>
      </c>
      <c r="C374" s="66" t="n">
        <v>47.74</v>
      </c>
      <c r="D374" s="62" t="s">
        <v>9</v>
      </c>
    </row>
    <row r="375" customFormat="false" ht="15.75" hidden="false" customHeight="true" outlineLevel="0" collapsed="false">
      <c r="A375" s="62" t="n">
        <v>18</v>
      </c>
      <c r="B375" s="63" t="n">
        <v>4.02</v>
      </c>
      <c r="C375" s="66" t="n">
        <v>70</v>
      </c>
      <c r="D375" s="62" t="s">
        <v>9</v>
      </c>
    </row>
    <row r="376" customFormat="false" ht="15.75" hidden="false" customHeight="true" outlineLevel="0" collapsed="false">
      <c r="A376" s="62" t="n">
        <v>15</v>
      </c>
      <c r="B376" s="63" t="n">
        <v>9.53</v>
      </c>
      <c r="C376" s="66" t="n">
        <v>73.02</v>
      </c>
      <c r="D376" s="62" t="s">
        <v>9</v>
      </c>
    </row>
    <row r="377" customFormat="false" ht="15.75" hidden="false" customHeight="true" outlineLevel="0" collapsed="false">
      <c r="A377" s="62" t="n">
        <v>16</v>
      </c>
      <c r="B377" s="63" t="n">
        <v>6.49</v>
      </c>
      <c r="C377" s="66" t="n">
        <v>63.52</v>
      </c>
      <c r="D377" s="62" t="s">
        <v>9</v>
      </c>
    </row>
    <row r="378" customFormat="false" ht="15.75" hidden="false" customHeight="true" outlineLevel="0" collapsed="false">
      <c r="A378" s="62" t="n">
        <v>43</v>
      </c>
      <c r="B378" s="63" t="n">
        <v>8.85</v>
      </c>
      <c r="C378" s="66" t="n">
        <v>66.16</v>
      </c>
      <c r="D378" s="62" t="s">
        <v>9</v>
      </c>
    </row>
    <row r="379" customFormat="false" ht="15.75" hidden="false" customHeight="true" outlineLevel="0" collapsed="false">
      <c r="A379" s="62" t="n">
        <v>29</v>
      </c>
      <c r="B379" s="63" t="n">
        <v>6.27</v>
      </c>
      <c r="C379" s="66" t="n">
        <v>59.31</v>
      </c>
      <c r="D379" s="62" t="s">
        <v>9</v>
      </c>
    </row>
    <row r="380" customFormat="false" ht="15.75" hidden="false" customHeight="true" outlineLevel="0" collapsed="false">
      <c r="A380" s="62" t="n">
        <v>50</v>
      </c>
      <c r="B380" s="63" t="n">
        <v>6.18</v>
      </c>
      <c r="C380" s="66" t="n">
        <v>31.57</v>
      </c>
      <c r="D380" s="62" t="s">
        <v>9</v>
      </c>
    </row>
    <row r="381" customFormat="false" ht="15.75" hidden="false" customHeight="true" outlineLevel="0" collapsed="false">
      <c r="A381" s="62" t="n">
        <v>32</v>
      </c>
      <c r="B381" s="63" t="n">
        <v>8</v>
      </c>
      <c r="C381" s="66" t="n">
        <v>62.46</v>
      </c>
      <c r="D381" s="62" t="s">
        <v>9</v>
      </c>
    </row>
    <row r="382" customFormat="false" ht="15.75" hidden="false" customHeight="true" outlineLevel="0" collapsed="false">
      <c r="A382" s="62" t="n">
        <v>12</v>
      </c>
      <c r="B382" s="63" t="n">
        <v>6.96</v>
      </c>
      <c r="C382" s="66" t="n">
        <v>61.19</v>
      </c>
      <c r="D382" s="62" t="s">
        <v>9</v>
      </c>
    </row>
    <row r="383" customFormat="false" ht="15.75" hidden="false" customHeight="true" outlineLevel="0" collapsed="false">
      <c r="A383" s="62" t="n">
        <v>35</v>
      </c>
      <c r="B383" s="63" t="n">
        <v>9.56</v>
      </c>
      <c r="C383" s="66" t="n">
        <v>67.12</v>
      </c>
      <c r="D383" s="62" t="s">
        <v>9</v>
      </c>
    </row>
    <row r="384" customFormat="false" ht="15.75" hidden="false" customHeight="true" outlineLevel="0" collapsed="false">
      <c r="A384" s="62" t="n">
        <v>45</v>
      </c>
      <c r="B384" s="63" t="n">
        <v>6.06</v>
      </c>
      <c r="C384" s="66" t="n">
        <v>54.51</v>
      </c>
      <c r="D384" s="62" t="s">
        <v>9</v>
      </c>
    </row>
    <row r="385" customFormat="false" ht="15.75" hidden="false" customHeight="true" outlineLevel="0" collapsed="false">
      <c r="A385" s="62" t="n">
        <v>17</v>
      </c>
      <c r="B385" s="63" t="n">
        <v>7.7</v>
      </c>
      <c r="C385" s="66" t="n">
        <v>61.02</v>
      </c>
      <c r="D385" s="62" t="s">
        <v>9</v>
      </c>
    </row>
    <row r="386" customFormat="false" ht="15.75" hidden="false" customHeight="true" outlineLevel="0" collapsed="false">
      <c r="A386" s="62" t="n">
        <v>27</v>
      </c>
      <c r="B386" s="63" t="n">
        <v>5.05</v>
      </c>
      <c r="C386" s="66" t="n">
        <v>73.69</v>
      </c>
      <c r="D386" s="62" t="s">
        <v>9</v>
      </c>
    </row>
    <row r="387" customFormat="false" ht="15.75" hidden="false" customHeight="true" outlineLevel="0" collapsed="false">
      <c r="A387" s="62" t="n">
        <v>32</v>
      </c>
      <c r="B387" s="63" t="n">
        <v>7.38</v>
      </c>
      <c r="C387" s="66" t="n">
        <v>75.75</v>
      </c>
      <c r="D387" s="62" t="s">
        <v>9</v>
      </c>
    </row>
    <row r="388" customFormat="false" ht="15.75" hidden="false" customHeight="true" outlineLevel="0" collapsed="false">
      <c r="A388" s="62" t="n">
        <v>48</v>
      </c>
      <c r="B388" s="63" t="n">
        <v>6.23</v>
      </c>
      <c r="C388" s="66" t="n">
        <v>36.51</v>
      </c>
      <c r="D388" s="62" t="s">
        <v>9</v>
      </c>
    </row>
    <row r="389" customFormat="false" ht="15.75" hidden="false" customHeight="true" outlineLevel="0" collapsed="false">
      <c r="A389" s="62" t="n">
        <v>32</v>
      </c>
      <c r="B389" s="63" t="n">
        <v>7.19</v>
      </c>
      <c r="C389" s="66" t="n">
        <v>48.4</v>
      </c>
      <c r="D389" s="62" t="s">
        <v>9</v>
      </c>
    </row>
    <row r="390" customFormat="false" ht="15.75" hidden="false" customHeight="true" outlineLevel="0" collapsed="false">
      <c r="A390" s="62" t="n">
        <v>16</v>
      </c>
      <c r="B390" s="63" t="n">
        <v>9.38</v>
      </c>
      <c r="C390" s="66" t="n">
        <v>90.42</v>
      </c>
      <c r="D390" s="62" t="s">
        <v>9</v>
      </c>
    </row>
    <row r="391" customFormat="false" ht="15.75" hidden="false" customHeight="true" outlineLevel="0" collapsed="false">
      <c r="A391" s="62" t="n">
        <v>39</v>
      </c>
      <c r="B391" s="63" t="n">
        <v>7.98</v>
      </c>
      <c r="C391" s="66" t="n">
        <v>55.94</v>
      </c>
      <c r="D391" s="62" t="s">
        <v>9</v>
      </c>
    </row>
    <row r="392" customFormat="false" ht="15.75" hidden="false" customHeight="true" outlineLevel="0" collapsed="false">
      <c r="A392" s="62" t="n">
        <v>16</v>
      </c>
      <c r="B392" s="63" t="n">
        <v>6.66</v>
      </c>
      <c r="C392" s="66" t="n">
        <v>55.42</v>
      </c>
      <c r="D392" s="62" t="s">
        <v>9</v>
      </c>
    </row>
    <row r="393" customFormat="false" ht="15.75" hidden="false" customHeight="true" outlineLevel="0" collapsed="false">
      <c r="A393" s="62" t="n">
        <v>10</v>
      </c>
      <c r="B393" s="63" t="n">
        <v>6.96</v>
      </c>
      <c r="C393" s="66" t="n">
        <v>47.98</v>
      </c>
      <c r="D393" s="62" t="s">
        <v>9</v>
      </c>
    </row>
    <row r="394" customFormat="false" ht="15.75" hidden="false" customHeight="true" outlineLevel="0" collapsed="false">
      <c r="A394" s="62" t="n">
        <v>24</v>
      </c>
      <c r="B394" s="63" t="n">
        <v>7.07</v>
      </c>
      <c r="C394" s="66" t="n">
        <v>92.83</v>
      </c>
      <c r="D394" s="62" t="s">
        <v>9</v>
      </c>
    </row>
    <row r="395" customFormat="false" ht="15.75" hidden="false" customHeight="true" outlineLevel="0" collapsed="false">
      <c r="A395" s="62" t="n">
        <v>64</v>
      </c>
      <c r="B395" s="63" t="n">
        <v>8.08</v>
      </c>
      <c r="C395" s="66" t="n">
        <v>89.18</v>
      </c>
      <c r="D395" s="62" t="s">
        <v>9</v>
      </c>
    </row>
    <row r="396" customFormat="false" ht="15.75" hidden="false" customHeight="true" outlineLevel="0" collapsed="false">
      <c r="A396" s="62" t="n">
        <v>34</v>
      </c>
      <c r="B396" s="63" t="n">
        <v>6.25</v>
      </c>
      <c r="C396" s="66" t="n">
        <v>35.03</v>
      </c>
      <c r="D396" s="62" t="s">
        <v>9</v>
      </c>
    </row>
    <row r="397" customFormat="false" ht="15.75" hidden="false" customHeight="true" outlineLevel="0" collapsed="false">
      <c r="A397" s="62" t="n">
        <v>37</v>
      </c>
      <c r="B397" s="63" t="n">
        <v>5.15</v>
      </c>
      <c r="C397" s="66" t="n">
        <v>36.72</v>
      </c>
      <c r="D397" s="62" t="s">
        <v>9</v>
      </c>
    </row>
    <row r="398" customFormat="false" ht="15.75" hidden="false" customHeight="true" outlineLevel="0" collapsed="false">
      <c r="A398" s="62" t="n">
        <v>25</v>
      </c>
      <c r="B398" s="63" t="n">
        <v>8.55</v>
      </c>
      <c r="C398" s="66" t="n">
        <v>37.83</v>
      </c>
      <c r="D398" s="62" t="s">
        <v>9</v>
      </c>
    </row>
    <row r="399" customFormat="false" ht="15.75" hidden="false" customHeight="true" outlineLevel="0" collapsed="false">
      <c r="A399" s="62" t="n">
        <v>18</v>
      </c>
      <c r="B399" s="63" t="n">
        <v>7.31</v>
      </c>
      <c r="C399" s="66" t="n">
        <v>53.57</v>
      </c>
      <c r="D399" s="62" t="s">
        <v>9</v>
      </c>
    </row>
    <row r="400" customFormat="false" ht="15.75" hidden="false" customHeight="true" outlineLevel="0" collapsed="false">
      <c r="A400" s="62" t="n">
        <v>34</v>
      </c>
      <c r="B400" s="63" t="n">
        <v>8.41</v>
      </c>
      <c r="C400" s="66" t="n">
        <v>8.69</v>
      </c>
      <c r="D400" s="62" t="s">
        <v>9</v>
      </c>
    </row>
    <row r="401" customFormat="false" ht="15.75" hidden="false" customHeight="true" outlineLevel="0" collapsed="false">
      <c r="A401" s="62" t="n">
        <v>10</v>
      </c>
      <c r="B401" s="63" t="n">
        <v>5.65</v>
      </c>
      <c r="C401" s="66" t="n">
        <v>20.31</v>
      </c>
      <c r="D401" s="62" t="s">
        <v>9</v>
      </c>
    </row>
    <row r="402" customFormat="false" ht="15.75" hidden="false" customHeight="true" outlineLevel="0" collapsed="false">
      <c r="A402" s="62" t="n">
        <v>46</v>
      </c>
      <c r="B402" s="63" t="n">
        <v>9.62</v>
      </c>
      <c r="C402" s="66" t="n">
        <v>92.89</v>
      </c>
      <c r="D402" s="62" t="s">
        <v>9</v>
      </c>
    </row>
    <row r="403" customFormat="false" ht="15.75" hidden="false" customHeight="true" outlineLevel="0" collapsed="false">
      <c r="A403" s="62" t="n">
        <v>25</v>
      </c>
      <c r="B403" s="63" t="n">
        <v>5.94</v>
      </c>
      <c r="C403" s="66" t="n">
        <v>100.07</v>
      </c>
      <c r="D403" s="62" t="s">
        <v>9</v>
      </c>
    </row>
    <row r="404" customFormat="false" ht="15.75" hidden="false" customHeight="true" outlineLevel="0" collapsed="false">
      <c r="A404" s="62" t="n">
        <v>19</v>
      </c>
      <c r="B404" s="63" t="n">
        <v>6.22</v>
      </c>
      <c r="C404" s="66" t="n">
        <v>33.18</v>
      </c>
      <c r="D404" s="62" t="s">
        <v>9</v>
      </c>
    </row>
    <row r="405" customFormat="false" ht="15.75" hidden="false" customHeight="true" outlineLevel="0" collapsed="false">
      <c r="A405" s="62" t="n">
        <v>7</v>
      </c>
      <c r="B405" s="63" t="n">
        <v>6.99</v>
      </c>
      <c r="C405" s="66" t="n">
        <v>57.18</v>
      </c>
      <c r="D405" s="62" t="s">
        <v>9</v>
      </c>
    </row>
    <row r="406" customFormat="false" ht="15.75" hidden="false" customHeight="true" outlineLevel="0" collapsed="false">
      <c r="A406" s="62" t="n">
        <v>17</v>
      </c>
      <c r="B406" s="63" t="n">
        <v>6.05</v>
      </c>
      <c r="C406" s="66" t="n">
        <v>67.25</v>
      </c>
      <c r="D406" s="62" t="s">
        <v>9</v>
      </c>
    </row>
    <row r="407" customFormat="false" ht="15.75" hidden="false" customHeight="true" outlineLevel="0" collapsed="false">
      <c r="A407" s="62" t="n">
        <v>26</v>
      </c>
      <c r="B407" s="63" t="n">
        <v>5.31</v>
      </c>
      <c r="C407" s="66" t="n">
        <v>52.1</v>
      </c>
      <c r="D407" s="62" t="s">
        <v>9</v>
      </c>
    </row>
    <row r="408" customFormat="false" ht="15.75" hidden="false" customHeight="true" outlineLevel="0" collapsed="false">
      <c r="A408" s="62" t="n">
        <v>49</v>
      </c>
      <c r="B408" s="63" t="n">
        <v>5.61</v>
      </c>
      <c r="C408" s="66" t="n">
        <v>71.07</v>
      </c>
      <c r="D408" s="62" t="s">
        <v>9</v>
      </c>
    </row>
    <row r="409" customFormat="false" ht="15.75" hidden="false" customHeight="true" outlineLevel="0" collapsed="false">
      <c r="A409" s="62" t="n">
        <v>24</v>
      </c>
      <c r="B409" s="63" t="n">
        <v>8.83</v>
      </c>
      <c r="C409" s="66" t="n">
        <v>76.27</v>
      </c>
      <c r="D409" s="62" t="s">
        <v>9</v>
      </c>
    </row>
    <row r="410" customFormat="false" ht="15.75" hidden="false" customHeight="true" outlineLevel="0" collapsed="false">
      <c r="A410" s="62" t="n">
        <v>25</v>
      </c>
      <c r="B410" s="63" t="n">
        <v>4.57</v>
      </c>
      <c r="C410" s="66" t="n">
        <v>45.88</v>
      </c>
      <c r="D410" s="62" t="s">
        <v>9</v>
      </c>
    </row>
    <row r="411" customFormat="false" ht="15.75" hidden="false" customHeight="true" outlineLevel="0" collapsed="false">
      <c r="A411" s="62" t="n">
        <v>17</v>
      </c>
      <c r="B411" s="63" t="n">
        <v>5.99</v>
      </c>
      <c r="C411" s="66" t="n">
        <v>80.13</v>
      </c>
      <c r="D411" s="62" t="s">
        <v>9</v>
      </c>
    </row>
    <row r="412" customFormat="false" ht="15.75" hidden="false" customHeight="true" outlineLevel="0" collapsed="false">
      <c r="A412" s="62" t="n">
        <v>42</v>
      </c>
      <c r="B412" s="63" t="n">
        <v>7.67</v>
      </c>
      <c r="C412" s="66" t="n">
        <v>58.01</v>
      </c>
      <c r="D412" s="62" t="s">
        <v>9</v>
      </c>
    </row>
    <row r="413" customFormat="false" ht="15.75" hidden="false" customHeight="true" outlineLevel="0" collapsed="false">
      <c r="A413" s="62" t="n">
        <v>29</v>
      </c>
      <c r="B413" s="63" t="n">
        <v>8.29</v>
      </c>
      <c r="C413" s="66" t="n">
        <v>50.65</v>
      </c>
      <c r="D413" s="62" t="s">
        <v>9</v>
      </c>
    </row>
    <row r="414" customFormat="false" ht="15.75" hidden="false" customHeight="true" outlineLevel="0" collapsed="false">
      <c r="A414" s="62" t="n">
        <v>9</v>
      </c>
      <c r="B414" s="63" t="n">
        <v>9.23</v>
      </c>
      <c r="C414" s="66" t="n">
        <v>82.68</v>
      </c>
      <c r="D414" s="62" t="s">
        <v>9</v>
      </c>
    </row>
    <row r="415" customFormat="false" ht="15.75" hidden="false" customHeight="true" outlineLevel="0" collapsed="false">
      <c r="A415" s="62" t="n">
        <v>36</v>
      </c>
      <c r="B415" s="63" t="n">
        <v>5.98</v>
      </c>
      <c r="C415" s="66" t="n">
        <v>56.8</v>
      </c>
      <c r="D415" s="62" t="s">
        <v>9</v>
      </c>
    </row>
    <row r="416" customFormat="false" ht="15.75" hidden="false" customHeight="true" outlineLevel="0" collapsed="false">
      <c r="A416" s="62" t="n">
        <v>15</v>
      </c>
      <c r="B416" s="63" t="n">
        <v>5.35</v>
      </c>
      <c r="C416" s="66" t="n">
        <v>43.32</v>
      </c>
      <c r="D416" s="62" t="s">
        <v>9</v>
      </c>
    </row>
    <row r="417" customFormat="false" ht="15.75" hidden="false" customHeight="true" outlineLevel="0" collapsed="false">
      <c r="A417" s="62" t="n">
        <v>24</v>
      </c>
      <c r="B417" s="63" t="n">
        <v>9.02</v>
      </c>
      <c r="C417" s="66" t="n">
        <v>68.38</v>
      </c>
      <c r="D417" s="62" t="s">
        <v>9</v>
      </c>
    </row>
    <row r="418" customFormat="false" ht="15.75" hidden="false" customHeight="true" outlineLevel="0" collapsed="false">
      <c r="A418" s="62" t="n">
        <v>28</v>
      </c>
      <c r="B418" s="63" t="n">
        <v>7.27</v>
      </c>
      <c r="C418" s="66" t="n">
        <v>33.45</v>
      </c>
      <c r="D418" s="62" t="s">
        <v>9</v>
      </c>
    </row>
    <row r="419" customFormat="false" ht="15.75" hidden="false" customHeight="true" outlineLevel="0" collapsed="false">
      <c r="A419" s="62" t="n">
        <v>26</v>
      </c>
      <c r="B419" s="63" t="n">
        <v>9.3</v>
      </c>
      <c r="C419" s="66" t="n">
        <v>78.83</v>
      </c>
      <c r="D419" s="62" t="s">
        <v>9</v>
      </c>
    </row>
    <row r="420" customFormat="false" ht="15.75" hidden="false" customHeight="true" outlineLevel="0" collapsed="false">
      <c r="A420" s="62" t="n">
        <v>20</v>
      </c>
      <c r="B420" s="63" t="n">
        <v>6.75</v>
      </c>
      <c r="C420" s="66" t="n">
        <v>79.99</v>
      </c>
      <c r="D420" s="62" t="s">
        <v>9</v>
      </c>
    </row>
    <row r="421" customFormat="false" ht="15.75" hidden="false" customHeight="true" outlineLevel="0" collapsed="false">
      <c r="A421" s="62" t="n">
        <v>36</v>
      </c>
      <c r="B421" s="63" t="n">
        <v>8.88</v>
      </c>
      <c r="C421" s="66" t="n">
        <v>73.25</v>
      </c>
      <c r="D421" s="62" t="s">
        <v>9</v>
      </c>
    </row>
    <row r="422" customFormat="false" ht="15.75" hidden="false" customHeight="true" outlineLevel="0" collapsed="false">
      <c r="A422" s="62" t="n">
        <v>36</v>
      </c>
      <c r="B422" s="63" t="n">
        <v>7.25</v>
      </c>
      <c r="C422" s="66" t="n">
        <v>42.01</v>
      </c>
      <c r="D422" s="62" t="s">
        <v>9</v>
      </c>
    </row>
    <row r="423" customFormat="false" ht="15.75" hidden="false" customHeight="true" outlineLevel="0" collapsed="false">
      <c r="A423" s="62" t="n">
        <v>5</v>
      </c>
      <c r="B423" s="63" t="n">
        <v>6.8</v>
      </c>
      <c r="C423" s="66" t="n">
        <v>61.9</v>
      </c>
      <c r="D423" s="62" t="s">
        <v>9</v>
      </c>
    </row>
    <row r="424" customFormat="false" ht="15.75" hidden="false" customHeight="true" outlineLevel="0" collapsed="false">
      <c r="A424" s="62" t="n">
        <v>15</v>
      </c>
      <c r="B424" s="63" t="n">
        <v>6.65</v>
      </c>
      <c r="C424" s="66" t="n">
        <v>54.56</v>
      </c>
      <c r="D424" s="62" t="s">
        <v>9</v>
      </c>
    </row>
    <row r="425" customFormat="false" ht="15.75" hidden="false" customHeight="true" outlineLevel="0" collapsed="false">
      <c r="A425" s="62" t="n">
        <v>28</v>
      </c>
      <c r="B425" s="63" t="n">
        <v>6.93</v>
      </c>
      <c r="C425" s="66" t="n">
        <v>71.62</v>
      </c>
      <c r="D425" s="62" t="s">
        <v>9</v>
      </c>
    </row>
    <row r="426" customFormat="false" ht="15.75" hidden="false" customHeight="true" outlineLevel="0" collapsed="false">
      <c r="A426" s="62" t="n">
        <v>35</v>
      </c>
      <c r="B426" s="63" t="n">
        <v>8.74</v>
      </c>
      <c r="C426" s="66" t="n">
        <v>72.92</v>
      </c>
      <c r="D426" s="62" t="s">
        <v>9</v>
      </c>
    </row>
    <row r="427" customFormat="false" ht="15.75" hidden="false" customHeight="true" outlineLevel="0" collapsed="false">
      <c r="A427" s="62" t="n">
        <v>29</v>
      </c>
      <c r="B427" s="63" t="n">
        <v>7.9</v>
      </c>
      <c r="C427" s="66" t="n">
        <v>41.49</v>
      </c>
      <c r="D427" s="62" t="s">
        <v>9</v>
      </c>
    </row>
    <row r="428" customFormat="false" ht="15.75" hidden="false" customHeight="true" outlineLevel="0" collapsed="false">
      <c r="A428" s="62" t="n">
        <v>42</v>
      </c>
      <c r="B428" s="63" t="n">
        <v>6.73</v>
      </c>
      <c r="C428" s="66" t="n">
        <v>67.74</v>
      </c>
      <c r="D428" s="62" t="s">
        <v>9</v>
      </c>
    </row>
    <row r="429" customFormat="false" ht="15.75" hidden="false" customHeight="true" outlineLevel="0" collapsed="false">
      <c r="A429" s="62" t="n">
        <v>14</v>
      </c>
      <c r="B429" s="63" t="n">
        <v>5.79</v>
      </c>
      <c r="C429" s="66" t="n">
        <v>43.41</v>
      </c>
      <c r="D429" s="62" t="s">
        <v>9</v>
      </c>
    </row>
    <row r="430" customFormat="false" ht="15.75" hidden="false" customHeight="true" outlineLevel="0" collapsed="false">
      <c r="A430" s="62" t="n">
        <v>25</v>
      </c>
      <c r="B430" s="63" t="n">
        <v>4.99</v>
      </c>
      <c r="C430" s="66" t="n">
        <v>42.91</v>
      </c>
      <c r="D430" s="62" t="s">
        <v>9</v>
      </c>
    </row>
    <row r="431" customFormat="false" ht="15.75" hidden="false" customHeight="true" outlineLevel="0" collapsed="false">
      <c r="A431" s="62" t="n">
        <v>5</v>
      </c>
      <c r="B431" s="63" t="n">
        <v>8.52</v>
      </c>
      <c r="C431" s="66" t="n">
        <v>66.65</v>
      </c>
      <c r="D431" s="62" t="s">
        <v>9</v>
      </c>
    </row>
    <row r="432" customFormat="false" ht="15.75" hidden="false" customHeight="true" outlineLevel="0" collapsed="false">
      <c r="A432" s="62" t="n">
        <v>74</v>
      </c>
      <c r="B432" s="63" t="n">
        <v>6.65</v>
      </c>
      <c r="C432" s="66" t="n">
        <v>55.63</v>
      </c>
      <c r="D432" s="62" t="s">
        <v>9</v>
      </c>
    </row>
    <row r="433" customFormat="false" ht="15.75" hidden="false" customHeight="true" outlineLevel="0" collapsed="false">
      <c r="A433" s="62" t="n">
        <v>2</v>
      </c>
      <c r="B433" s="63" t="n">
        <v>7.12</v>
      </c>
      <c r="C433" s="66" t="n">
        <v>89.46</v>
      </c>
      <c r="D433" s="62" t="s">
        <v>9</v>
      </c>
    </row>
    <row r="434" customFormat="false" ht="15.75" hidden="false" customHeight="true" outlineLevel="0" collapsed="false">
      <c r="A434" s="62" t="n">
        <v>51</v>
      </c>
      <c r="B434" s="63" t="n">
        <v>7.45</v>
      </c>
      <c r="C434" s="66" t="n">
        <v>35.75</v>
      </c>
      <c r="D434" s="62" t="s">
        <v>9</v>
      </c>
    </row>
    <row r="435" customFormat="false" ht="15.75" hidden="false" customHeight="true" outlineLevel="0" collapsed="false">
      <c r="A435" s="62" t="n">
        <v>38</v>
      </c>
      <c r="B435" s="63" t="n">
        <v>6.02</v>
      </c>
      <c r="C435" s="66" t="n">
        <v>45.03</v>
      </c>
      <c r="D435" s="62" t="s">
        <v>9</v>
      </c>
    </row>
    <row r="436" customFormat="false" ht="15.75" hidden="false" customHeight="true" outlineLevel="0" collapsed="false">
      <c r="A436" s="62" t="n">
        <v>21</v>
      </c>
      <c r="B436" s="63" t="n">
        <v>7.87</v>
      </c>
      <c r="C436" s="66" t="n">
        <v>55.21</v>
      </c>
      <c r="D436" s="62" t="s">
        <v>9</v>
      </c>
    </row>
    <row r="437" customFormat="false" ht="15.75" hidden="false" customHeight="true" outlineLevel="0" collapsed="false">
      <c r="A437" s="62" t="n">
        <v>48</v>
      </c>
      <c r="B437" s="63" t="n">
        <v>4.69</v>
      </c>
      <c r="C437" s="66" t="n">
        <v>61.81</v>
      </c>
      <c r="D437" s="62" t="s">
        <v>9</v>
      </c>
    </row>
    <row r="438" customFormat="false" ht="15.75" hidden="false" customHeight="true" outlineLevel="0" collapsed="false">
      <c r="A438" s="62" t="n">
        <v>14</v>
      </c>
      <c r="B438" s="63" t="n">
        <v>6.74</v>
      </c>
      <c r="C438" s="66" t="n">
        <v>79.67</v>
      </c>
      <c r="D438" s="62" t="s">
        <v>9</v>
      </c>
    </row>
    <row r="439" customFormat="false" ht="15.75" hidden="false" customHeight="true" outlineLevel="0" collapsed="false">
      <c r="A439" s="62" t="n">
        <v>38</v>
      </c>
      <c r="B439" s="63" t="n">
        <v>4.92</v>
      </c>
      <c r="C439" s="66" t="n">
        <v>38.86</v>
      </c>
      <c r="D439" s="62" t="s">
        <v>9</v>
      </c>
    </row>
    <row r="440" customFormat="false" ht="15.75" hidden="false" customHeight="true" outlineLevel="0" collapsed="false">
      <c r="A440" s="62" t="n">
        <v>36</v>
      </c>
      <c r="B440" s="63" t="n">
        <v>7.25</v>
      </c>
      <c r="C440" s="66" t="n">
        <v>91.39</v>
      </c>
      <c r="D440" s="62" t="s">
        <v>9</v>
      </c>
    </row>
    <row r="441" customFormat="false" ht="15.75" hidden="false" customHeight="true" outlineLevel="0" collapsed="false">
      <c r="A441" s="62" t="n">
        <v>22</v>
      </c>
      <c r="B441" s="63" t="n">
        <v>5.05</v>
      </c>
      <c r="C441" s="66" t="n">
        <v>45.65</v>
      </c>
      <c r="D441" s="62" t="s">
        <v>9</v>
      </c>
    </row>
    <row r="442" customFormat="false" ht="15.75" hidden="false" customHeight="true" outlineLevel="0" collapsed="false">
      <c r="A442" s="62" t="n">
        <v>24</v>
      </c>
      <c r="B442" s="63" t="n">
        <v>5.65</v>
      </c>
      <c r="C442" s="66" t="n">
        <v>65.02</v>
      </c>
      <c r="D442" s="62" t="s">
        <v>9</v>
      </c>
    </row>
    <row r="443" customFormat="false" ht="15.75" hidden="false" customHeight="true" outlineLevel="0" collapsed="false">
      <c r="A443" s="62" t="n">
        <v>22</v>
      </c>
      <c r="B443" s="63" t="n">
        <v>9.2</v>
      </c>
      <c r="C443" s="66" t="n">
        <v>72.51</v>
      </c>
      <c r="D443" s="62" t="s">
        <v>9</v>
      </c>
    </row>
    <row r="444" customFormat="false" ht="15.75" hidden="false" customHeight="true" outlineLevel="0" collapsed="false">
      <c r="A444" s="62" t="n">
        <v>29</v>
      </c>
      <c r="B444" s="63" t="n">
        <v>6.32</v>
      </c>
      <c r="C444" s="66" t="n">
        <v>73.26</v>
      </c>
      <c r="D444" s="62" t="s">
        <v>9</v>
      </c>
    </row>
    <row r="445" customFormat="false" ht="15.75" hidden="false" customHeight="true" outlineLevel="0" collapsed="false">
      <c r="A445" s="62" t="n">
        <v>7</v>
      </c>
      <c r="B445" s="63" t="n">
        <v>4.39</v>
      </c>
      <c r="C445" s="66" t="n">
        <v>20.17</v>
      </c>
      <c r="D445" s="62" t="s">
        <v>9</v>
      </c>
    </row>
    <row r="446" customFormat="false" ht="15.75" hidden="false" customHeight="true" outlineLevel="0" collapsed="false">
      <c r="A446" s="62" t="n">
        <v>43</v>
      </c>
      <c r="B446" s="63" t="n">
        <v>9.18</v>
      </c>
      <c r="C446" s="66" t="n">
        <v>65.19</v>
      </c>
      <c r="D446" s="62" t="s">
        <v>9</v>
      </c>
    </row>
    <row r="447" customFormat="false" ht="15.75" hidden="false" customHeight="true" outlineLevel="0" collapsed="false">
      <c r="A447" s="62" t="n">
        <v>15</v>
      </c>
      <c r="B447" s="63" t="n">
        <v>7.42</v>
      </c>
      <c r="C447" s="66" t="n">
        <v>53.4</v>
      </c>
      <c r="D447" s="62" t="s">
        <v>9</v>
      </c>
    </row>
    <row r="448" customFormat="false" ht="15.75" hidden="false" customHeight="true" outlineLevel="0" collapsed="false">
      <c r="A448" s="62" t="n">
        <v>14</v>
      </c>
      <c r="B448" s="63" t="n">
        <v>9.69</v>
      </c>
      <c r="C448" s="66" t="n">
        <v>82.07</v>
      </c>
      <c r="D448" s="62" t="s">
        <v>9</v>
      </c>
    </row>
    <row r="449" customFormat="false" ht="15.75" hidden="false" customHeight="true" outlineLevel="0" collapsed="false">
      <c r="A449" s="62" t="n">
        <v>2</v>
      </c>
      <c r="B449" s="63" t="n">
        <v>6.03</v>
      </c>
      <c r="C449" s="66" t="n">
        <v>66.72</v>
      </c>
      <c r="D449" s="62" t="s">
        <v>9</v>
      </c>
    </row>
    <row r="450" customFormat="false" ht="15.75" hidden="false" customHeight="true" outlineLevel="0" collapsed="false">
      <c r="A450" s="62" t="n">
        <v>68</v>
      </c>
      <c r="B450" s="63" t="n">
        <v>4.37</v>
      </c>
      <c r="C450" s="66" t="n">
        <v>23.31</v>
      </c>
      <c r="D450" s="62" t="s">
        <v>9</v>
      </c>
    </row>
    <row r="451" customFormat="false" ht="15.75" hidden="false" customHeight="true" outlineLevel="0" collapsed="false">
      <c r="A451" s="62" t="n">
        <v>19</v>
      </c>
      <c r="B451" s="63" t="n">
        <v>7.73</v>
      </c>
      <c r="C451" s="66" t="n">
        <v>75.43</v>
      </c>
      <c r="D451" s="62" t="s">
        <v>9</v>
      </c>
    </row>
    <row r="452" customFormat="false" ht="15.75" hidden="false" customHeight="true" outlineLevel="0" collapsed="false">
      <c r="A452" s="62" t="n">
        <v>10</v>
      </c>
      <c r="B452" s="63" t="n">
        <v>4.8</v>
      </c>
      <c r="C452" s="66" t="n">
        <v>29.99</v>
      </c>
      <c r="D452" s="62" t="s">
        <v>9</v>
      </c>
    </row>
    <row r="453" customFormat="false" ht="15.75" hidden="false" customHeight="true" outlineLevel="0" collapsed="false">
      <c r="A453" s="62" t="n">
        <v>29</v>
      </c>
      <c r="B453" s="63" t="n">
        <v>4.85</v>
      </c>
      <c r="C453" s="66" t="n">
        <v>59.93</v>
      </c>
      <c r="D453" s="62" t="s">
        <v>9</v>
      </c>
    </row>
    <row r="454" customFormat="false" ht="15.75" hidden="false" customHeight="true" outlineLevel="0" collapsed="false">
      <c r="A454" s="62" t="n">
        <v>50</v>
      </c>
      <c r="B454" s="63" t="n">
        <v>8.42</v>
      </c>
      <c r="C454" s="66" t="n">
        <v>88.33</v>
      </c>
      <c r="D454" s="62" t="s">
        <v>9</v>
      </c>
    </row>
    <row r="455" customFormat="false" ht="15.75" hidden="false" customHeight="true" outlineLevel="0" collapsed="false">
      <c r="A455" s="62" t="n">
        <v>2</v>
      </c>
      <c r="B455" s="63" t="n">
        <v>9.73</v>
      </c>
      <c r="C455" s="66" t="n">
        <v>94.71</v>
      </c>
      <c r="D455" s="62" t="s">
        <v>9</v>
      </c>
    </row>
    <row r="456" customFormat="false" ht="15.75" hidden="false" customHeight="true" outlineLevel="0" collapsed="false">
      <c r="A456" s="62" t="n">
        <v>40</v>
      </c>
      <c r="B456" s="63" t="n">
        <v>9.27</v>
      </c>
      <c r="C456" s="66" t="n">
        <v>55.3</v>
      </c>
      <c r="D456" s="62" t="s">
        <v>9</v>
      </c>
    </row>
    <row r="457" customFormat="false" ht="15.75" hidden="false" customHeight="true" outlineLevel="0" collapsed="false">
      <c r="A457" s="62" t="n">
        <v>23</v>
      </c>
      <c r="B457" s="63" t="n">
        <v>4.61</v>
      </c>
      <c r="C457" s="66" t="n">
        <v>41.34</v>
      </c>
      <c r="D457" s="62" t="s">
        <v>9</v>
      </c>
    </row>
    <row r="458" customFormat="false" ht="15.75" hidden="false" customHeight="true" outlineLevel="0" collapsed="false">
      <c r="A458" s="62" t="n">
        <v>35</v>
      </c>
      <c r="B458" s="63" t="n">
        <v>7.46</v>
      </c>
      <c r="C458" s="66" t="n">
        <v>55.88</v>
      </c>
      <c r="D458" s="62" t="s">
        <v>9</v>
      </c>
    </row>
    <row r="459" customFormat="false" ht="15.75" hidden="false" customHeight="true" outlineLevel="0" collapsed="false">
      <c r="A459" s="62" t="n">
        <v>36</v>
      </c>
      <c r="B459" s="63" t="n">
        <v>5.86</v>
      </c>
      <c r="C459" s="66" t="n">
        <v>50.94</v>
      </c>
      <c r="D459" s="62" t="s">
        <v>9</v>
      </c>
    </row>
    <row r="460" customFormat="false" ht="15.75" hidden="false" customHeight="true" outlineLevel="0" collapsed="false">
      <c r="A460" s="62" t="n">
        <v>8</v>
      </c>
      <c r="B460" s="63" t="n">
        <v>9.2</v>
      </c>
      <c r="C460" s="66" t="n">
        <v>73.45</v>
      </c>
      <c r="D460" s="62" t="s">
        <v>9</v>
      </c>
    </row>
    <row r="461" customFormat="false" ht="15.75" hidden="false" customHeight="true" outlineLevel="0" collapsed="false">
      <c r="A461" s="62" t="n">
        <v>20</v>
      </c>
      <c r="B461" s="63" t="n">
        <v>4.46</v>
      </c>
      <c r="C461" s="66" t="n">
        <v>34.05</v>
      </c>
      <c r="D461" s="62" t="s">
        <v>9</v>
      </c>
    </row>
    <row r="462" customFormat="false" ht="15.75" hidden="false" customHeight="true" outlineLevel="0" collapsed="false">
      <c r="A462" s="62" t="n">
        <v>37</v>
      </c>
      <c r="B462" s="63" t="n">
        <v>9.44</v>
      </c>
      <c r="C462" s="66" t="n">
        <v>61.2</v>
      </c>
      <c r="D462" s="62" t="s">
        <v>9</v>
      </c>
    </row>
    <row r="463" customFormat="false" ht="15.75" hidden="false" customHeight="true" outlineLevel="0" collapsed="false">
      <c r="A463" s="62" t="n">
        <v>46</v>
      </c>
      <c r="B463" s="63" t="n">
        <v>9.47</v>
      </c>
      <c r="C463" s="66" t="n">
        <v>75.08</v>
      </c>
      <c r="D463" s="62" t="s">
        <v>9</v>
      </c>
    </row>
    <row r="464" customFormat="false" ht="15.75" hidden="false" customHeight="true" outlineLevel="0" collapsed="false">
      <c r="A464" s="62" t="n">
        <v>26</v>
      </c>
      <c r="B464" s="63" t="n">
        <v>7.81</v>
      </c>
      <c r="C464" s="66" t="n">
        <v>71.47</v>
      </c>
      <c r="D464" s="62" t="s">
        <v>9</v>
      </c>
    </row>
    <row r="465" customFormat="false" ht="15.75" hidden="false" customHeight="true" outlineLevel="0" collapsed="false">
      <c r="A465" s="62" t="n">
        <v>31</v>
      </c>
      <c r="B465" s="63" t="n">
        <v>6.34</v>
      </c>
      <c r="C465" s="66" t="n">
        <v>56.08</v>
      </c>
      <c r="D465" s="62" t="s">
        <v>9</v>
      </c>
    </row>
    <row r="466" customFormat="false" ht="15.75" hidden="false" customHeight="true" outlineLevel="0" collapsed="false">
      <c r="A466" s="62" t="n">
        <v>40</v>
      </c>
      <c r="B466" s="63" t="n">
        <v>5.5</v>
      </c>
      <c r="C466" s="66" t="n">
        <v>70.36</v>
      </c>
      <c r="D466" s="62" t="s">
        <v>9</v>
      </c>
    </row>
    <row r="467" customFormat="false" ht="15.75" hidden="false" customHeight="true" outlineLevel="0" collapsed="false">
      <c r="A467" s="62" t="n">
        <v>34</v>
      </c>
      <c r="B467" s="63" t="n">
        <v>9.99</v>
      </c>
      <c r="C467" s="66" t="n">
        <v>92.22</v>
      </c>
      <c r="D467" s="62" t="s">
        <v>9</v>
      </c>
    </row>
    <row r="468" customFormat="false" ht="15.75" hidden="false" customHeight="true" outlineLevel="0" collapsed="false">
      <c r="A468" s="62" t="n">
        <v>34</v>
      </c>
      <c r="B468" s="63" t="n">
        <v>8.89</v>
      </c>
      <c r="C468" s="66" t="n">
        <v>85.79</v>
      </c>
      <c r="D468" s="62" t="s">
        <v>9</v>
      </c>
    </row>
    <row r="469" customFormat="false" ht="15.75" hidden="false" customHeight="true" outlineLevel="0" collapsed="false">
      <c r="A469" s="62" t="n">
        <v>23</v>
      </c>
      <c r="B469" s="63" t="n">
        <v>9.3</v>
      </c>
      <c r="C469" s="66" t="n">
        <v>58.26</v>
      </c>
      <c r="D469" s="62" t="s">
        <v>9</v>
      </c>
    </row>
    <row r="470" customFormat="false" ht="15.75" hidden="false" customHeight="true" outlineLevel="0" collapsed="false">
      <c r="A470" s="62" t="n">
        <v>8</v>
      </c>
      <c r="B470" s="63" t="n">
        <v>6.67</v>
      </c>
      <c r="C470" s="66" t="n">
        <v>50.18</v>
      </c>
      <c r="D470" s="62" t="s">
        <v>9</v>
      </c>
    </row>
    <row r="471" customFormat="false" ht="15.75" hidden="false" customHeight="true" outlineLevel="0" collapsed="false">
      <c r="A471" s="62" t="n">
        <v>18</v>
      </c>
      <c r="B471" s="63" t="n">
        <v>6.54</v>
      </c>
      <c r="C471" s="66" t="n">
        <v>60.5</v>
      </c>
      <c r="D471" s="62" t="s">
        <v>9</v>
      </c>
    </row>
    <row r="472" customFormat="false" ht="15.75" hidden="false" customHeight="true" outlineLevel="0" collapsed="false">
      <c r="A472" s="62" t="n">
        <v>38</v>
      </c>
      <c r="B472" s="63" t="n">
        <v>6.92</v>
      </c>
      <c r="C472" s="66" t="n">
        <v>50.8</v>
      </c>
      <c r="D472" s="62" t="s">
        <v>9</v>
      </c>
    </row>
    <row r="473" customFormat="false" ht="15.75" hidden="false" customHeight="true" outlineLevel="0" collapsed="false">
      <c r="A473" s="62" t="n">
        <v>33</v>
      </c>
      <c r="B473" s="63" t="n">
        <v>5.91</v>
      </c>
      <c r="C473" s="66" t="n">
        <v>54.85</v>
      </c>
      <c r="D473" s="62" t="s">
        <v>9</v>
      </c>
    </row>
    <row r="474" customFormat="false" ht="15.75" hidden="false" customHeight="true" outlineLevel="0" collapsed="false">
      <c r="A474" s="62" t="n">
        <v>1</v>
      </c>
      <c r="B474" s="63" t="n">
        <v>5.76</v>
      </c>
      <c r="C474" s="66" t="n">
        <v>36.57</v>
      </c>
      <c r="D474" s="62" t="s">
        <v>9</v>
      </c>
    </row>
    <row r="475" customFormat="false" ht="15.75" hidden="false" customHeight="true" outlineLevel="0" collapsed="false">
      <c r="A475" s="62" t="n">
        <v>28</v>
      </c>
      <c r="B475" s="63" t="n">
        <v>9.27</v>
      </c>
      <c r="C475" s="66" t="n">
        <v>81.64</v>
      </c>
      <c r="D475" s="62" t="s">
        <v>9</v>
      </c>
    </row>
    <row r="476" customFormat="false" ht="15.75" hidden="false" customHeight="true" outlineLevel="0" collapsed="false">
      <c r="A476" s="62" t="n">
        <v>40</v>
      </c>
      <c r="B476" s="63" t="n">
        <v>9.21</v>
      </c>
      <c r="C476" s="66" t="n">
        <v>67.63</v>
      </c>
      <c r="D476" s="62" t="s">
        <v>9</v>
      </c>
    </row>
    <row r="477" customFormat="false" ht="15.75" hidden="false" customHeight="true" outlineLevel="0" collapsed="false">
      <c r="A477" s="62" t="n">
        <v>41</v>
      </c>
      <c r="B477" s="63" t="n">
        <v>4.64</v>
      </c>
      <c r="C477" s="66" t="n">
        <v>38.45</v>
      </c>
      <c r="D477" s="62" t="s">
        <v>9</v>
      </c>
    </row>
    <row r="478" customFormat="false" ht="15.75" hidden="false" customHeight="true" outlineLevel="0" collapsed="false">
      <c r="A478" s="62" t="n">
        <v>31</v>
      </c>
      <c r="B478" s="63" t="n">
        <v>7.46</v>
      </c>
      <c r="C478" s="66" t="n">
        <v>52.4</v>
      </c>
      <c r="D478" s="62" t="s">
        <v>9</v>
      </c>
    </row>
    <row r="479" customFormat="false" ht="15.75" hidden="false" customHeight="true" outlineLevel="0" collapsed="false">
      <c r="A479" s="62" t="n">
        <v>57</v>
      </c>
      <c r="B479" s="63" t="n">
        <v>5.85</v>
      </c>
      <c r="C479" s="66" t="n">
        <v>28.16</v>
      </c>
      <c r="D479" s="62" t="s">
        <v>9</v>
      </c>
    </row>
    <row r="480" customFormat="false" ht="15.75" hidden="false" customHeight="true" outlineLevel="0" collapsed="false">
      <c r="A480" s="62" t="n">
        <v>43</v>
      </c>
      <c r="B480" s="63" t="n">
        <v>6.23</v>
      </c>
      <c r="C480" s="66" t="n">
        <v>42.26</v>
      </c>
      <c r="D480" s="62" t="s">
        <v>9</v>
      </c>
    </row>
    <row r="481" customFormat="false" ht="15.75" hidden="false" customHeight="true" outlineLevel="0" collapsed="false">
      <c r="A481" s="62" t="n">
        <v>24</v>
      </c>
      <c r="B481" s="63" t="n">
        <v>6.46</v>
      </c>
      <c r="C481" s="66" t="n">
        <v>50.33</v>
      </c>
      <c r="D481" s="62" t="s">
        <v>9</v>
      </c>
    </row>
    <row r="482" customFormat="false" ht="15.75" hidden="false" customHeight="true" outlineLevel="0" collapsed="false">
      <c r="A482" s="62" t="n">
        <v>32</v>
      </c>
      <c r="B482" s="63" t="n">
        <v>7.48</v>
      </c>
      <c r="C482" s="66" t="n">
        <v>49.8</v>
      </c>
      <c r="D482" s="62" t="s">
        <v>9</v>
      </c>
    </row>
    <row r="483" customFormat="false" ht="15.75" hidden="false" customHeight="true" outlineLevel="0" collapsed="false">
      <c r="A483" s="62" t="n">
        <v>48</v>
      </c>
      <c r="B483" s="63" t="n">
        <v>5.93</v>
      </c>
      <c r="C483" s="66" t="n">
        <v>10.96</v>
      </c>
      <c r="D483" s="62" t="s">
        <v>9</v>
      </c>
    </row>
    <row r="484" customFormat="false" ht="15.75" hidden="false" customHeight="true" outlineLevel="0" collapsed="false">
      <c r="A484" s="62" t="n">
        <v>51</v>
      </c>
      <c r="B484" s="63" t="n">
        <v>4.96</v>
      </c>
      <c r="C484" s="66" t="n">
        <v>35.53</v>
      </c>
      <c r="D484" s="62" t="s">
        <v>9</v>
      </c>
    </row>
    <row r="485" customFormat="false" ht="15.75" hidden="false" customHeight="true" outlineLevel="0" collapsed="false">
      <c r="A485" s="62" t="n">
        <v>7</v>
      </c>
      <c r="B485" s="63" t="n">
        <v>4.06</v>
      </c>
      <c r="C485" s="66" t="n">
        <v>21.98</v>
      </c>
      <c r="D485" s="62" t="s">
        <v>9</v>
      </c>
    </row>
    <row r="486" customFormat="false" ht="15.75" hidden="false" customHeight="true" outlineLevel="0" collapsed="false">
      <c r="A486" s="62" t="n">
        <v>29</v>
      </c>
      <c r="B486" s="63" t="n">
        <v>4.15</v>
      </c>
      <c r="C486" s="66" t="n">
        <v>20.84</v>
      </c>
      <c r="D486" s="62" t="s">
        <v>9</v>
      </c>
    </row>
    <row r="487" customFormat="false" ht="15.75" hidden="false" customHeight="true" outlineLevel="0" collapsed="false">
      <c r="A487" s="62" t="n">
        <v>32</v>
      </c>
      <c r="B487" s="63" t="n">
        <v>4.31</v>
      </c>
      <c r="C487" s="66" t="n">
        <v>33.97</v>
      </c>
      <c r="D487" s="62" t="s">
        <v>9</v>
      </c>
    </row>
    <row r="488" customFormat="false" ht="15.75" hidden="false" customHeight="true" outlineLevel="0" collapsed="false">
      <c r="A488" s="62" t="n">
        <v>39</v>
      </c>
      <c r="B488" s="63" t="n">
        <v>7.07</v>
      </c>
      <c r="C488" s="66" t="n">
        <v>48.18</v>
      </c>
      <c r="D488" s="62" t="s">
        <v>9</v>
      </c>
    </row>
    <row r="489" customFormat="false" ht="15.75" hidden="false" customHeight="true" outlineLevel="0" collapsed="false">
      <c r="A489" s="62" t="n">
        <v>37</v>
      </c>
      <c r="B489" s="63" t="n">
        <v>6.64</v>
      </c>
      <c r="C489" s="66" t="n">
        <v>66.96</v>
      </c>
      <c r="D489" s="62" t="s">
        <v>9</v>
      </c>
    </row>
    <row r="490" customFormat="false" ht="15.75" hidden="false" customHeight="true" outlineLevel="0" collapsed="false">
      <c r="A490" s="62" t="n">
        <v>15</v>
      </c>
      <c r="B490" s="63" t="n">
        <v>4.62</v>
      </c>
      <c r="C490" s="66" t="n">
        <v>65.36</v>
      </c>
      <c r="D490" s="62" t="s">
        <v>9</v>
      </c>
    </row>
    <row r="491" customFormat="false" ht="15.75" hidden="false" customHeight="true" outlineLevel="0" collapsed="false">
      <c r="A491" s="62" t="n">
        <v>52</v>
      </c>
      <c r="B491" s="63" t="n">
        <v>4.03</v>
      </c>
      <c r="C491" s="66" t="n">
        <v>25.68</v>
      </c>
      <c r="D491" s="62" t="s">
        <v>9</v>
      </c>
    </row>
    <row r="492" customFormat="false" ht="15.75" hidden="false" customHeight="true" outlineLevel="0" collapsed="false">
      <c r="A492" s="62" t="n">
        <v>23</v>
      </c>
      <c r="B492" s="63" t="n">
        <v>8.97</v>
      </c>
      <c r="C492" s="66" t="n">
        <v>53.51</v>
      </c>
      <c r="D492" s="62" t="s">
        <v>9</v>
      </c>
    </row>
    <row r="493" customFormat="false" ht="15.75" hidden="false" customHeight="true" outlineLevel="0" collapsed="false">
      <c r="A493" s="62" t="n">
        <v>50</v>
      </c>
      <c r="B493" s="63" t="n">
        <v>5.21</v>
      </c>
      <c r="C493" s="66" t="n">
        <v>92.88</v>
      </c>
      <c r="D493" s="62" t="s">
        <v>9</v>
      </c>
    </row>
    <row r="494" customFormat="false" ht="15.75" hidden="false" customHeight="true" outlineLevel="0" collapsed="false">
      <c r="A494" s="62" t="n">
        <v>17</v>
      </c>
      <c r="B494" s="63" t="n">
        <v>7.93</v>
      </c>
      <c r="C494" s="66" t="n">
        <v>61.63</v>
      </c>
      <c r="D494" s="62" t="s">
        <v>9</v>
      </c>
    </row>
    <row r="495" customFormat="false" ht="15.75" hidden="false" customHeight="true" outlineLevel="0" collapsed="false">
      <c r="A495" s="62" t="n">
        <v>19</v>
      </c>
      <c r="B495" s="63" t="n">
        <v>4.12</v>
      </c>
      <c r="C495" s="66" t="n">
        <v>37.87</v>
      </c>
      <c r="D495" s="62" t="s">
        <v>9</v>
      </c>
    </row>
    <row r="496" customFormat="false" ht="15.75" hidden="false" customHeight="true" outlineLevel="0" collapsed="false">
      <c r="A496" s="62" t="n">
        <v>8</v>
      </c>
      <c r="B496" s="63" t="n">
        <v>4.62</v>
      </c>
      <c r="C496" s="66" t="n">
        <v>24.61</v>
      </c>
      <c r="D496" s="62" t="s">
        <v>9</v>
      </c>
    </row>
    <row r="497" customFormat="false" ht="15.75" hidden="false" customHeight="true" outlineLevel="0" collapsed="false">
      <c r="A497" s="62" t="n">
        <v>4</v>
      </c>
      <c r="B497" s="63" t="n">
        <v>7.06</v>
      </c>
      <c r="C497" s="66" t="n">
        <v>40.79</v>
      </c>
      <c r="D497" s="62" t="s">
        <v>9</v>
      </c>
    </row>
    <row r="498" customFormat="false" ht="15.75" hidden="false" customHeight="true" outlineLevel="0" collapsed="false">
      <c r="A498" s="62" t="n">
        <v>3</v>
      </c>
      <c r="B498" s="63" t="n">
        <v>9.23</v>
      </c>
      <c r="C498" s="66" t="n">
        <v>94.26</v>
      </c>
      <c r="D498" s="62" t="s">
        <v>9</v>
      </c>
    </row>
    <row r="499" customFormat="false" ht="15.75" hidden="false" customHeight="true" outlineLevel="0" collapsed="false">
      <c r="A499" s="62" t="n">
        <v>57</v>
      </c>
      <c r="B499" s="63" t="n">
        <v>5.96</v>
      </c>
      <c r="C499" s="66" t="n">
        <v>84.26</v>
      </c>
      <c r="D499" s="62" t="s">
        <v>9</v>
      </c>
    </row>
    <row r="500" customFormat="false" ht="15.75" hidden="false" customHeight="true" outlineLevel="0" collapsed="false">
      <c r="A500" s="62" t="n">
        <v>30</v>
      </c>
      <c r="B500" s="63" t="n">
        <v>9.24</v>
      </c>
      <c r="C500" s="66" t="n">
        <v>77.36</v>
      </c>
      <c r="D500" s="62" t="s">
        <v>9</v>
      </c>
    </row>
    <row r="501" customFormat="false" ht="15.75" hidden="false" customHeight="true" outlineLevel="0" collapsed="false">
      <c r="A501" s="62" t="n">
        <v>7</v>
      </c>
      <c r="B501" s="63" t="n">
        <v>5.84</v>
      </c>
      <c r="C501" s="66" t="n">
        <v>40.15</v>
      </c>
      <c r="D501" s="62" t="s">
        <v>9</v>
      </c>
    </row>
    <row r="502" customFormat="false" ht="15.75" hidden="false" customHeight="true" outlineLevel="0" collapsed="false">
      <c r="A502" s="62" t="n">
        <v>24</v>
      </c>
      <c r="B502" s="63" t="n">
        <v>4.66</v>
      </c>
      <c r="C502" s="66" t="n">
        <v>36.2</v>
      </c>
      <c r="D502" s="62" t="s">
        <v>9</v>
      </c>
    </row>
    <row r="503" customFormat="false" ht="15.75" hidden="false" customHeight="true" outlineLevel="0" collapsed="false">
      <c r="A503" s="62" t="n">
        <v>27</v>
      </c>
      <c r="B503" s="63" t="n">
        <v>8.41</v>
      </c>
      <c r="C503" s="66" t="n">
        <v>54.49</v>
      </c>
      <c r="D503" s="62" t="s">
        <v>9</v>
      </c>
    </row>
    <row r="504" customFormat="false" ht="15.75" hidden="false" customHeight="true" outlineLevel="0" collapsed="false">
      <c r="A504" s="62" t="n">
        <v>21</v>
      </c>
      <c r="B504" s="63" t="n">
        <v>9.15</v>
      </c>
      <c r="C504" s="66" t="n">
        <v>78.58</v>
      </c>
      <c r="D504" s="62" t="s">
        <v>9</v>
      </c>
    </row>
    <row r="505" customFormat="false" ht="15.75" hidden="false" customHeight="true" outlineLevel="0" collapsed="false">
      <c r="A505" s="62" t="n">
        <v>13</v>
      </c>
      <c r="B505" s="63" t="n">
        <v>5.67</v>
      </c>
      <c r="C505" s="66" t="n">
        <v>61.28</v>
      </c>
      <c r="D505" s="62" t="s">
        <v>9</v>
      </c>
    </row>
    <row r="506" customFormat="false" ht="15.75" hidden="false" customHeight="true" outlineLevel="0" collapsed="false">
      <c r="A506" s="62" t="n">
        <v>15</v>
      </c>
      <c r="B506" s="63" t="n">
        <v>5.59</v>
      </c>
      <c r="C506" s="66" t="n">
        <v>68.12</v>
      </c>
      <c r="D506" s="62" t="s">
        <v>9</v>
      </c>
    </row>
    <row r="507" customFormat="false" ht="15.75" hidden="false" customHeight="true" outlineLevel="0" collapsed="false">
      <c r="A507" s="62" t="n">
        <v>17</v>
      </c>
      <c r="B507" s="63" t="n">
        <v>9.1</v>
      </c>
      <c r="C507" s="66" t="n">
        <v>52.07</v>
      </c>
      <c r="D507" s="62" t="s">
        <v>9</v>
      </c>
    </row>
    <row r="508" customFormat="false" ht="15.75" hidden="false" customHeight="true" outlineLevel="0" collapsed="false">
      <c r="A508" s="62" t="n">
        <v>32</v>
      </c>
      <c r="B508" s="63" t="n">
        <v>6.24</v>
      </c>
      <c r="C508" s="66" t="n">
        <v>54.93</v>
      </c>
      <c r="D508" s="62" t="s">
        <v>9</v>
      </c>
    </row>
    <row r="509" customFormat="false" ht="15.75" hidden="false" customHeight="true" outlineLevel="0" collapsed="false">
      <c r="A509" s="62" t="n">
        <v>22</v>
      </c>
      <c r="B509" s="63" t="n">
        <v>8.1</v>
      </c>
      <c r="C509" s="66" t="n">
        <v>65.84</v>
      </c>
      <c r="D509" s="62" t="s">
        <v>9</v>
      </c>
    </row>
    <row r="510" customFormat="false" ht="15.75" hidden="false" customHeight="true" outlineLevel="0" collapsed="false">
      <c r="A510" s="62" t="n">
        <v>42</v>
      </c>
      <c r="B510" s="63" t="n">
        <v>5.61</v>
      </c>
      <c r="C510" s="66" t="n">
        <v>47.22</v>
      </c>
      <c r="D510" s="62" t="s">
        <v>9</v>
      </c>
    </row>
    <row r="511" customFormat="false" ht="15.75" hidden="false" customHeight="true" outlineLevel="0" collapsed="false">
      <c r="A511" s="62" t="n">
        <v>25</v>
      </c>
      <c r="B511" s="63" t="n">
        <v>5.48</v>
      </c>
      <c r="C511" s="66" t="n">
        <v>34.47</v>
      </c>
      <c r="D511" s="62" t="s">
        <v>9</v>
      </c>
    </row>
    <row r="512" customFormat="false" ht="15.75" hidden="false" customHeight="true" outlineLevel="0" collapsed="false">
      <c r="A512" s="62" t="n">
        <v>10</v>
      </c>
      <c r="B512" s="63" t="n">
        <v>4.26</v>
      </c>
      <c r="C512" s="66" t="n">
        <v>43.55</v>
      </c>
      <c r="D512" s="62" t="s">
        <v>9</v>
      </c>
    </row>
    <row r="513" customFormat="false" ht="15.75" hidden="false" customHeight="true" outlineLevel="0" collapsed="false">
      <c r="A513" s="62" t="n">
        <v>26</v>
      </c>
      <c r="B513" s="63" t="n">
        <v>9.68</v>
      </c>
      <c r="C513" s="66" t="n">
        <v>132.73</v>
      </c>
      <c r="D513" s="62" t="s">
        <v>9</v>
      </c>
    </row>
    <row r="514" customFormat="false" ht="15.75" hidden="false" customHeight="true" outlineLevel="0" collapsed="false">
      <c r="A514" s="62" t="n">
        <v>4</v>
      </c>
      <c r="B514" s="63" t="n">
        <v>9.86</v>
      </c>
      <c r="C514" s="66" t="n">
        <v>72.35</v>
      </c>
      <c r="D514" s="62" t="s">
        <v>9</v>
      </c>
    </row>
    <row r="515" customFormat="false" ht="15.75" hidden="false" customHeight="true" outlineLevel="0" collapsed="false">
      <c r="A515" s="62" t="n">
        <v>25</v>
      </c>
      <c r="B515" s="63" t="n">
        <v>4.88</v>
      </c>
      <c r="C515" s="66" t="n">
        <v>62.64</v>
      </c>
      <c r="D515" s="62" t="s">
        <v>9</v>
      </c>
    </row>
    <row r="516" customFormat="false" ht="15.75" hidden="false" customHeight="true" outlineLevel="0" collapsed="false">
      <c r="A516" s="62" t="n">
        <v>54</v>
      </c>
      <c r="B516" s="63" t="n">
        <v>9.62</v>
      </c>
      <c r="C516" s="66" t="n">
        <v>67.07</v>
      </c>
      <c r="D516" s="62" t="s">
        <v>9</v>
      </c>
    </row>
    <row r="517" customFormat="false" ht="15.75" hidden="false" customHeight="true" outlineLevel="0" collapsed="false">
      <c r="A517" s="62" t="n">
        <v>25</v>
      </c>
      <c r="B517" s="63" t="n">
        <v>6.28</v>
      </c>
      <c r="C517" s="66" t="n">
        <v>61.5</v>
      </c>
      <c r="D517" s="62" t="s">
        <v>9</v>
      </c>
    </row>
    <row r="518" customFormat="false" ht="15.75" hidden="false" customHeight="true" outlineLevel="0" collapsed="false">
      <c r="A518" s="62" t="n">
        <v>21</v>
      </c>
      <c r="B518" s="63" t="n">
        <v>9.58</v>
      </c>
      <c r="C518" s="66" t="n">
        <v>57.83</v>
      </c>
      <c r="D518" s="62" t="s">
        <v>9</v>
      </c>
    </row>
    <row r="519" customFormat="false" ht="15.75" hidden="false" customHeight="true" outlineLevel="0" collapsed="false">
      <c r="A519" s="62" t="n">
        <v>22</v>
      </c>
      <c r="B519" s="63" t="n">
        <v>5.79</v>
      </c>
      <c r="C519" s="66" t="n">
        <v>67.23</v>
      </c>
      <c r="D519" s="62" t="s">
        <v>9</v>
      </c>
    </row>
    <row r="520" customFormat="false" ht="15.75" hidden="false" customHeight="true" outlineLevel="0" collapsed="false">
      <c r="A520" s="62" t="n">
        <v>25</v>
      </c>
      <c r="B520" s="63" t="n">
        <v>6.25</v>
      </c>
      <c r="C520" s="66" t="n">
        <v>59.23</v>
      </c>
      <c r="D520" s="62" t="s">
        <v>9</v>
      </c>
    </row>
    <row r="521" customFormat="false" ht="15.75" hidden="false" customHeight="true" outlineLevel="0" collapsed="false">
      <c r="A521" s="62" t="n">
        <v>9</v>
      </c>
      <c r="B521" s="63" t="n">
        <v>4.46</v>
      </c>
      <c r="C521" s="66" t="n">
        <v>30.81</v>
      </c>
      <c r="D521" s="62" t="s">
        <v>9</v>
      </c>
    </row>
    <row r="522" customFormat="false" ht="15.75" hidden="false" customHeight="true" outlineLevel="0" collapsed="false">
      <c r="A522" s="62" t="n">
        <v>24</v>
      </c>
      <c r="B522" s="63" t="n">
        <v>6.56</v>
      </c>
      <c r="C522" s="66" t="n">
        <v>76.7</v>
      </c>
      <c r="D522" s="62" t="s">
        <v>9</v>
      </c>
    </row>
    <row r="523" customFormat="false" ht="15.75" hidden="false" customHeight="true" outlineLevel="0" collapsed="false">
      <c r="A523" s="62" t="n">
        <v>40</v>
      </c>
      <c r="B523" s="63" t="n">
        <v>8.7</v>
      </c>
      <c r="C523" s="66" t="n">
        <v>66.56</v>
      </c>
      <c r="D523" s="62" t="s">
        <v>9</v>
      </c>
    </row>
    <row r="524" customFormat="false" ht="15.75" hidden="false" customHeight="true" outlineLevel="0" collapsed="false">
      <c r="A524" s="62" t="n">
        <v>42</v>
      </c>
      <c r="B524" s="63" t="n">
        <v>8.68</v>
      </c>
      <c r="C524" s="66" t="n">
        <v>42.13</v>
      </c>
      <c r="D524" s="62" t="s">
        <v>9</v>
      </c>
    </row>
    <row r="525" customFormat="false" ht="15.75" hidden="false" customHeight="true" outlineLevel="0" collapsed="false">
      <c r="A525" s="62" t="n">
        <v>25</v>
      </c>
      <c r="B525" s="63" t="n">
        <v>4.78</v>
      </c>
      <c r="C525" s="66" t="n">
        <v>67.87</v>
      </c>
      <c r="D525" s="62" t="s">
        <v>9</v>
      </c>
    </row>
    <row r="526" customFormat="false" ht="15.75" hidden="false" customHeight="true" outlineLevel="0" collapsed="false">
      <c r="A526" s="62" t="n">
        <v>28</v>
      </c>
      <c r="B526" s="63" t="n">
        <v>4.39</v>
      </c>
      <c r="C526" s="66" t="n">
        <v>35.26</v>
      </c>
      <c r="D526" s="62" t="s">
        <v>9</v>
      </c>
    </row>
    <row r="527" customFormat="false" ht="15.75" hidden="false" customHeight="true" outlineLevel="0" collapsed="false">
      <c r="A527" s="62" t="n">
        <v>7</v>
      </c>
      <c r="B527" s="63" t="n">
        <v>5.66</v>
      </c>
      <c r="C527" s="66" t="n">
        <v>56.39</v>
      </c>
      <c r="D527" s="62" t="s">
        <v>9</v>
      </c>
    </row>
    <row r="528" customFormat="false" ht="15.75" hidden="false" customHeight="true" outlineLevel="0" collapsed="false">
      <c r="A528" s="62" t="n">
        <v>27</v>
      </c>
      <c r="B528" s="63" t="n">
        <v>6.47</v>
      </c>
      <c r="C528" s="66" t="n">
        <v>36.21</v>
      </c>
      <c r="D528" s="62" t="s">
        <v>9</v>
      </c>
    </row>
    <row r="529" customFormat="false" ht="15.75" hidden="false" customHeight="true" outlineLevel="0" collapsed="false">
      <c r="A529" s="62" t="n">
        <v>32</v>
      </c>
      <c r="B529" s="63" t="n">
        <v>7.3</v>
      </c>
      <c r="C529" s="66" t="n">
        <v>101.92</v>
      </c>
      <c r="D529" s="62" t="s">
        <v>9</v>
      </c>
    </row>
    <row r="530" customFormat="false" ht="15.75" hidden="false" customHeight="true" outlineLevel="0" collapsed="false">
      <c r="A530" s="62" t="n">
        <v>21</v>
      </c>
      <c r="B530" s="63" t="n">
        <v>6.16</v>
      </c>
      <c r="C530" s="66" t="n">
        <v>43.75</v>
      </c>
      <c r="D530" s="62" t="s">
        <v>9</v>
      </c>
    </row>
    <row r="531" customFormat="false" ht="15.75" hidden="false" customHeight="true" outlineLevel="0" collapsed="false">
      <c r="A531" s="62" t="n">
        <v>44</v>
      </c>
      <c r="B531" s="63" t="n">
        <v>5.67</v>
      </c>
      <c r="C531" s="66" t="n">
        <v>77.45</v>
      </c>
      <c r="D531" s="62" t="s">
        <v>9</v>
      </c>
    </row>
    <row r="532" customFormat="false" ht="15.75" hidden="false" customHeight="true" outlineLevel="0" collapsed="false">
      <c r="A532" s="62" t="n">
        <v>2</v>
      </c>
      <c r="B532" s="63" t="n">
        <v>5.96</v>
      </c>
      <c r="C532" s="66" t="n">
        <v>80.31</v>
      </c>
      <c r="D532" s="62" t="s">
        <v>9</v>
      </c>
    </row>
    <row r="533" customFormat="false" ht="15.75" hidden="false" customHeight="true" outlineLevel="0" collapsed="false">
      <c r="A533" s="62" t="n">
        <v>20</v>
      </c>
      <c r="B533" s="63" t="n">
        <v>7.97</v>
      </c>
      <c r="C533" s="66" t="n">
        <v>104.75</v>
      </c>
      <c r="D533" s="62" t="s">
        <v>9</v>
      </c>
    </row>
    <row r="534" customFormat="false" ht="15.75" hidden="false" customHeight="true" outlineLevel="0" collapsed="false">
      <c r="A534" s="62" t="n">
        <v>10</v>
      </c>
      <c r="B534" s="63" t="n">
        <v>8.02</v>
      </c>
      <c r="C534" s="66" t="n">
        <v>79.25</v>
      </c>
      <c r="D534" s="62" t="s">
        <v>9</v>
      </c>
    </row>
    <row r="535" customFormat="false" ht="15.75" hidden="false" customHeight="true" outlineLevel="0" collapsed="false">
      <c r="A535" s="62" t="n">
        <v>14</v>
      </c>
      <c r="B535" s="63" t="n">
        <v>6.27</v>
      </c>
      <c r="C535" s="66" t="n">
        <v>78.2</v>
      </c>
      <c r="D535" s="62" t="s">
        <v>9</v>
      </c>
    </row>
    <row r="536" customFormat="false" ht="15.75" hidden="false" customHeight="true" outlineLevel="0" collapsed="false">
      <c r="A536" s="62" t="n">
        <v>9</v>
      </c>
      <c r="B536" s="63" t="n">
        <v>8.12</v>
      </c>
      <c r="C536" s="66" t="n">
        <v>89.07</v>
      </c>
      <c r="D536" s="62" t="s">
        <v>9</v>
      </c>
    </row>
    <row r="537" customFormat="false" ht="15.75" hidden="false" customHeight="true" outlineLevel="0" collapsed="false">
      <c r="A537" s="62" t="n">
        <v>21</v>
      </c>
      <c r="B537" s="63" t="n">
        <v>6.65</v>
      </c>
      <c r="C537" s="66" t="n">
        <v>62.98</v>
      </c>
      <c r="D537" s="62" t="s">
        <v>9</v>
      </c>
    </row>
    <row r="538" customFormat="false" ht="15.75" hidden="false" customHeight="true" outlineLevel="0" collapsed="false">
      <c r="A538" s="62" t="n">
        <v>55</v>
      </c>
      <c r="B538" s="63" t="n">
        <v>8.69</v>
      </c>
      <c r="C538" s="66" t="n">
        <v>72.78</v>
      </c>
      <c r="D538" s="62" t="s">
        <v>9</v>
      </c>
    </row>
    <row r="539" customFormat="false" ht="15.75" hidden="false" customHeight="true" outlineLevel="0" collapsed="false">
      <c r="A539" s="62" t="n">
        <v>25</v>
      </c>
      <c r="B539" s="63" t="n">
        <v>8.04</v>
      </c>
      <c r="C539" s="66" t="n">
        <v>110.48</v>
      </c>
      <c r="D539" s="62" t="s">
        <v>9</v>
      </c>
    </row>
    <row r="540" customFormat="false" ht="15.75" hidden="false" customHeight="true" outlineLevel="0" collapsed="false">
      <c r="A540" s="62" t="n">
        <v>2</v>
      </c>
      <c r="B540" s="63" t="n">
        <v>5.1</v>
      </c>
      <c r="C540" s="66" t="n">
        <v>51</v>
      </c>
      <c r="D540" s="62" t="s">
        <v>9</v>
      </c>
    </row>
    <row r="541" customFormat="false" ht="15.75" hidden="false" customHeight="true" outlineLevel="0" collapsed="false">
      <c r="A541" s="62" t="n">
        <v>11</v>
      </c>
      <c r="B541" s="63" t="n">
        <v>8.19</v>
      </c>
      <c r="C541" s="66" t="n">
        <v>77.39</v>
      </c>
      <c r="D541" s="62" t="s">
        <v>9</v>
      </c>
    </row>
    <row r="542" customFormat="false" ht="15.75" hidden="false" customHeight="true" outlineLevel="0" collapsed="false">
      <c r="A542" s="62" t="n">
        <v>8</v>
      </c>
      <c r="B542" s="63" t="n">
        <v>4.87</v>
      </c>
      <c r="C542" s="66" t="n">
        <v>53.52</v>
      </c>
      <c r="D542" s="62" t="s">
        <v>9</v>
      </c>
    </row>
    <row r="543" customFormat="false" ht="15.75" hidden="false" customHeight="true" outlineLevel="0" collapsed="false">
      <c r="A543" s="62" t="n">
        <v>51</v>
      </c>
      <c r="B543" s="63" t="n">
        <v>6.46</v>
      </c>
      <c r="C543" s="66" t="n">
        <v>69.07</v>
      </c>
      <c r="D543" s="62" t="s">
        <v>9</v>
      </c>
    </row>
    <row r="544" customFormat="false" ht="15.75" hidden="false" customHeight="true" outlineLevel="0" collapsed="false">
      <c r="A544" s="62" t="n">
        <v>5</v>
      </c>
      <c r="B544" s="63" t="n">
        <v>8.68</v>
      </c>
      <c r="C544" s="66" t="n">
        <v>87.01</v>
      </c>
      <c r="D544" s="62" t="s">
        <v>9</v>
      </c>
    </row>
    <row r="545" customFormat="false" ht="15.75" hidden="false" customHeight="true" outlineLevel="0" collapsed="false">
      <c r="A545" s="62" t="n">
        <v>24</v>
      </c>
      <c r="B545" s="63" t="n">
        <v>7.72</v>
      </c>
      <c r="C545" s="66" t="n">
        <v>31.75</v>
      </c>
      <c r="D545" s="62" t="s">
        <v>9</v>
      </c>
    </row>
    <row r="546" customFormat="false" ht="15.75" hidden="false" customHeight="true" outlineLevel="0" collapsed="false">
      <c r="A546" s="62" t="n">
        <v>6</v>
      </c>
      <c r="B546" s="63" t="n">
        <v>9.33</v>
      </c>
      <c r="C546" s="66" t="n">
        <v>70.38</v>
      </c>
      <c r="D546" s="62" t="s">
        <v>9</v>
      </c>
    </row>
    <row r="547" customFormat="false" ht="15.75" hidden="false" customHeight="true" outlineLevel="0" collapsed="false">
      <c r="A547" s="62" t="n">
        <v>8</v>
      </c>
      <c r="B547" s="63" t="n">
        <v>9.25</v>
      </c>
      <c r="C547" s="66" t="n">
        <v>55.73</v>
      </c>
      <c r="D547" s="62" t="s">
        <v>9</v>
      </c>
    </row>
    <row r="548" customFormat="false" ht="15.75" hidden="false" customHeight="true" outlineLevel="0" collapsed="false">
      <c r="A548" s="62" t="n">
        <v>17</v>
      </c>
      <c r="B548" s="63" t="n">
        <v>6.91</v>
      </c>
      <c r="C548" s="66" t="n">
        <v>52.93</v>
      </c>
      <c r="D548" s="62" t="s">
        <v>9</v>
      </c>
    </row>
    <row r="549" customFormat="false" ht="15.75" hidden="false" customHeight="true" outlineLevel="0" collapsed="false">
      <c r="A549" s="62" t="n">
        <v>24</v>
      </c>
      <c r="B549" s="63" t="n">
        <v>8.62</v>
      </c>
      <c r="C549" s="66" t="n">
        <v>59.47</v>
      </c>
      <c r="D549" s="62" t="s">
        <v>9</v>
      </c>
    </row>
    <row r="550" customFormat="false" ht="15.75" hidden="false" customHeight="true" outlineLevel="0" collapsed="false">
      <c r="A550" s="62" t="n">
        <v>29</v>
      </c>
      <c r="B550" s="63" t="n">
        <v>5.88</v>
      </c>
      <c r="C550" s="66" t="n">
        <v>51.43</v>
      </c>
      <c r="D550" s="62" t="s">
        <v>9</v>
      </c>
    </row>
    <row r="551" customFormat="false" ht="15.75" hidden="false" customHeight="true" outlineLevel="0" collapsed="false">
      <c r="A551" s="62" t="n">
        <v>31</v>
      </c>
      <c r="B551" s="63" t="n">
        <v>7.3</v>
      </c>
      <c r="C551" s="66" t="n">
        <v>63.35</v>
      </c>
      <c r="D551" s="62" t="s">
        <v>9</v>
      </c>
    </row>
    <row r="552" customFormat="false" ht="15.75" hidden="false" customHeight="true" outlineLevel="0" collapsed="false">
      <c r="A552" s="62" t="n">
        <v>10</v>
      </c>
      <c r="B552" s="63" t="n">
        <v>5.93</v>
      </c>
      <c r="C552" s="66" t="n">
        <v>44.95</v>
      </c>
      <c r="D552" s="62" t="s">
        <v>9</v>
      </c>
    </row>
    <row r="553" customFormat="false" ht="15.75" hidden="false" customHeight="true" outlineLevel="0" collapsed="false">
      <c r="A553" s="62" t="n">
        <v>41</v>
      </c>
      <c r="B553" s="63" t="n">
        <v>8.19</v>
      </c>
      <c r="C553" s="66" t="n">
        <v>70.88</v>
      </c>
      <c r="D553" s="62" t="s">
        <v>9</v>
      </c>
    </row>
    <row r="554" customFormat="false" ht="15.75" hidden="false" customHeight="true" outlineLevel="0" collapsed="false">
      <c r="A554" s="62" t="n">
        <v>19</v>
      </c>
      <c r="B554" s="63" t="n">
        <v>8.78</v>
      </c>
      <c r="C554" s="66" t="n">
        <v>61.87</v>
      </c>
      <c r="D554" s="62" t="s">
        <v>9</v>
      </c>
    </row>
    <row r="555" customFormat="false" ht="15.75" hidden="false" customHeight="true" outlineLevel="0" collapsed="false">
      <c r="A555" s="62" t="n">
        <v>5</v>
      </c>
      <c r="B555" s="63" t="n">
        <v>7.29</v>
      </c>
      <c r="C555" s="66" t="n">
        <v>36.71</v>
      </c>
      <c r="D555" s="62" t="s">
        <v>9</v>
      </c>
    </row>
    <row r="556" customFormat="false" ht="15.75" hidden="false" customHeight="true" outlineLevel="0" collapsed="false">
      <c r="A556" s="62" t="n">
        <v>49</v>
      </c>
      <c r="B556" s="63" t="n">
        <v>7.37</v>
      </c>
      <c r="C556" s="66" t="n">
        <v>47.75</v>
      </c>
      <c r="D556" s="62" t="s">
        <v>9</v>
      </c>
    </row>
    <row r="557" customFormat="false" ht="15.75" hidden="false" customHeight="true" outlineLevel="0" collapsed="false">
      <c r="A557" s="62" t="n">
        <v>31</v>
      </c>
      <c r="B557" s="63" t="n">
        <v>9</v>
      </c>
      <c r="C557" s="66" t="n">
        <v>60.12</v>
      </c>
      <c r="D557" s="62" t="s">
        <v>9</v>
      </c>
    </row>
    <row r="558" customFormat="false" ht="15.75" hidden="false" customHeight="true" outlineLevel="0" collapsed="false">
      <c r="A558" s="62" t="n">
        <v>21</v>
      </c>
      <c r="B558" s="63" t="n">
        <v>9.53</v>
      </c>
      <c r="C558" s="66" t="n">
        <v>57.6</v>
      </c>
      <c r="D558" s="62" t="s">
        <v>9</v>
      </c>
    </row>
    <row r="559" customFormat="false" ht="15.75" hidden="false" customHeight="true" outlineLevel="0" collapsed="false">
      <c r="A559" s="62" t="n">
        <v>10</v>
      </c>
      <c r="B559" s="63" t="n">
        <v>9.85</v>
      </c>
      <c r="C559" s="66" t="n">
        <v>42.98</v>
      </c>
      <c r="D559" s="62" t="s">
        <v>9</v>
      </c>
    </row>
    <row r="560" customFormat="false" ht="15.75" hidden="false" customHeight="true" outlineLevel="0" collapsed="false">
      <c r="A560" s="62" t="n">
        <v>16</v>
      </c>
      <c r="B560" s="63" t="n">
        <v>8.74</v>
      </c>
      <c r="C560" s="66" t="n">
        <v>83.38</v>
      </c>
      <c r="D560" s="62" t="s">
        <v>9</v>
      </c>
    </row>
    <row r="561" customFormat="false" ht="15.75" hidden="false" customHeight="true" outlineLevel="0" collapsed="false">
      <c r="A561" s="62" t="n">
        <v>5</v>
      </c>
      <c r="B561" s="63" t="n">
        <v>5.73</v>
      </c>
      <c r="C561" s="66" t="n">
        <v>71.98</v>
      </c>
      <c r="D561" s="62" t="s">
        <v>9</v>
      </c>
    </row>
    <row r="562" customFormat="false" ht="15.75" hidden="false" customHeight="true" outlineLevel="0" collapsed="false">
      <c r="A562" s="62" t="n">
        <v>29</v>
      </c>
      <c r="B562" s="63" t="n">
        <v>2.67</v>
      </c>
      <c r="C562" s="66" t="n">
        <v>25.28</v>
      </c>
      <c r="D562" s="62" t="s">
        <v>9</v>
      </c>
    </row>
    <row r="563" customFormat="false" ht="15.75" hidden="false" customHeight="true" outlineLevel="0" collapsed="false">
      <c r="A563" s="62" t="n">
        <v>12</v>
      </c>
      <c r="B563" s="63" t="n">
        <v>2.4</v>
      </c>
      <c r="C563" s="66" t="n">
        <v>31.1</v>
      </c>
      <c r="D563" s="62" t="s">
        <v>9</v>
      </c>
    </row>
    <row r="564" customFormat="false" ht="15.75" hidden="false" customHeight="true" outlineLevel="0" collapsed="false">
      <c r="A564" s="62" t="n">
        <v>34</v>
      </c>
      <c r="B564" s="63" t="n">
        <v>2</v>
      </c>
      <c r="C564" s="66" t="n">
        <v>19.01</v>
      </c>
      <c r="D564" s="62" t="s">
        <v>9</v>
      </c>
    </row>
    <row r="565" customFormat="false" ht="15.75" hidden="false" customHeight="true" outlineLevel="0" collapsed="false">
      <c r="A565" s="62" t="n">
        <v>49</v>
      </c>
      <c r="B565" s="63" t="n">
        <v>4</v>
      </c>
      <c r="C565" s="66" t="n">
        <v>21.99</v>
      </c>
      <c r="D565" s="62" t="s">
        <v>9</v>
      </c>
    </row>
    <row r="566" customFormat="false" ht="15.75" hidden="false" customHeight="true" outlineLevel="0" collapsed="false">
      <c r="A566" s="62" t="n">
        <v>43</v>
      </c>
      <c r="B566" s="63" t="n">
        <v>4</v>
      </c>
      <c r="C566" s="66" t="n">
        <v>18.28</v>
      </c>
      <c r="D566" s="62" t="s">
        <v>9</v>
      </c>
    </row>
    <row r="567" customFormat="false" ht="15.75" hidden="false" customHeight="true" outlineLevel="0" collapsed="false">
      <c r="A567" s="62" t="n">
        <v>6</v>
      </c>
      <c r="B567" s="63" t="n">
        <v>2.5</v>
      </c>
      <c r="C567" s="66" t="n">
        <v>38.9</v>
      </c>
      <c r="D567" s="62" t="s">
        <v>9</v>
      </c>
    </row>
    <row r="568" customFormat="false" ht="15.75" hidden="false" customHeight="true" outlineLevel="0" collapsed="false">
      <c r="A568" s="62" t="n">
        <v>9</v>
      </c>
      <c r="B568" s="63" t="n">
        <v>3.5</v>
      </c>
      <c r="C568" s="66" t="n">
        <v>51.98</v>
      </c>
      <c r="D568" s="62" t="s">
        <v>9</v>
      </c>
    </row>
    <row r="569" customFormat="false" ht="15.75" hidden="false" customHeight="true" outlineLevel="0" collapsed="false">
      <c r="A569" s="62" t="n">
        <v>37</v>
      </c>
      <c r="B569" s="63" t="n">
        <v>2.3</v>
      </c>
      <c r="C569" s="66" t="n">
        <v>39.54</v>
      </c>
      <c r="D569" s="62" t="s">
        <v>9</v>
      </c>
    </row>
    <row r="570" customFormat="false" ht="15.75" hidden="false" customHeight="true" outlineLevel="0" collapsed="false">
      <c r="A570" s="62" t="n">
        <v>20</v>
      </c>
      <c r="B570" s="63" t="n">
        <v>3</v>
      </c>
      <c r="C570" s="66" t="n">
        <v>30.68</v>
      </c>
      <c r="D570" s="62" t="s">
        <v>9</v>
      </c>
    </row>
    <row r="571" customFormat="false" ht="15.75" hidden="false" customHeight="true" outlineLevel="0" collapsed="false">
      <c r="A571" s="62" t="n">
        <v>26</v>
      </c>
      <c r="B571" s="63" t="n">
        <v>2.6</v>
      </c>
      <c r="C571" s="66" t="n">
        <v>43.26</v>
      </c>
      <c r="D571" s="62" t="s">
        <v>9</v>
      </c>
    </row>
    <row r="572" customFormat="false" ht="15.75" hidden="false" customHeight="true" outlineLevel="0" collapsed="false">
      <c r="A572" s="62" t="n">
        <v>13</v>
      </c>
      <c r="B572" s="63" t="n">
        <v>2.3</v>
      </c>
      <c r="C572" s="66" t="n">
        <v>14</v>
      </c>
      <c r="D572" s="62" t="s">
        <v>9</v>
      </c>
    </row>
    <row r="573" customFormat="false" ht="15.75" hidden="false" customHeight="true" outlineLevel="0" collapsed="false">
      <c r="A573" s="62" t="n">
        <v>30</v>
      </c>
      <c r="B573" s="63" t="n">
        <v>2</v>
      </c>
      <c r="C573" s="66" t="n">
        <v>32.7</v>
      </c>
      <c r="D573" s="62" t="s">
        <v>9</v>
      </c>
    </row>
    <row r="574" customFormat="false" ht="15.75" hidden="false" customHeight="true" outlineLevel="0" collapsed="false">
      <c r="A574" s="62" t="n">
        <v>2</v>
      </c>
      <c r="B574" s="63" t="n">
        <v>3.3</v>
      </c>
      <c r="C574" s="66" t="n">
        <v>33.03</v>
      </c>
      <c r="D574" s="62" t="s">
        <v>9</v>
      </c>
    </row>
    <row r="575" customFormat="false" ht="15.75" hidden="false" customHeight="true" outlineLevel="0" collapsed="false">
      <c r="A575" s="62" t="n">
        <v>1</v>
      </c>
      <c r="B575" s="63" t="n">
        <v>1.8</v>
      </c>
      <c r="C575" s="66" t="n">
        <v>31.37</v>
      </c>
      <c r="D575" s="62" t="s">
        <v>9</v>
      </c>
    </row>
    <row r="576" customFormat="false" ht="15.75" hidden="false" customHeight="true" outlineLevel="0" collapsed="false">
      <c r="A576" s="62" t="n">
        <v>14</v>
      </c>
      <c r="B576" s="63" t="n">
        <v>1.5</v>
      </c>
      <c r="C576" s="66" t="n">
        <v>34.97</v>
      </c>
      <c r="D576" s="62" t="s">
        <v>9</v>
      </c>
    </row>
    <row r="577" customFormat="false" ht="15.75" hidden="false" customHeight="true" outlineLevel="0" collapsed="false">
      <c r="A577" s="62" t="n">
        <v>16</v>
      </c>
      <c r="B577" s="63" t="n">
        <v>2.8</v>
      </c>
      <c r="C577" s="66" t="n">
        <v>63</v>
      </c>
      <c r="D577" s="62" t="s">
        <v>9</v>
      </c>
    </row>
    <row r="578" customFormat="false" ht="15.75" hidden="false" customHeight="true" outlineLevel="0" collapsed="false">
      <c r="A578" s="62" t="n">
        <v>9</v>
      </c>
      <c r="B578" s="63" t="n">
        <v>2.3</v>
      </c>
      <c r="C578" s="66" t="n">
        <v>51.99</v>
      </c>
      <c r="D578" s="62" t="s">
        <v>9</v>
      </c>
    </row>
    <row r="579" customFormat="false" ht="15.75" hidden="false" customHeight="true" outlineLevel="0" collapsed="false">
      <c r="A579" s="62" t="n">
        <v>6</v>
      </c>
      <c r="B579" s="63" t="n">
        <v>1.8</v>
      </c>
      <c r="C579" s="66" t="n">
        <v>67.26</v>
      </c>
      <c r="D579" s="62" t="s">
        <v>9</v>
      </c>
    </row>
    <row r="580" customFormat="false" ht="15.75" hidden="false" customHeight="true" outlineLevel="0" collapsed="false">
      <c r="A580" s="62" t="n">
        <v>38</v>
      </c>
      <c r="B580" s="63" t="n">
        <v>3.6</v>
      </c>
      <c r="C580" s="66" t="n">
        <v>48.57</v>
      </c>
      <c r="D580" s="62" t="s">
        <v>9</v>
      </c>
    </row>
    <row r="581" customFormat="false" ht="15.75" hidden="false" customHeight="true" outlineLevel="0" collapsed="false">
      <c r="A581" s="62" t="n">
        <v>25</v>
      </c>
      <c r="B581" s="63" t="n">
        <v>2.4</v>
      </c>
      <c r="C581" s="66" t="n">
        <v>48.14</v>
      </c>
      <c r="D581" s="62" t="s">
        <v>9</v>
      </c>
    </row>
    <row r="582" customFormat="false" ht="15.75" hidden="false" customHeight="true" outlineLevel="0" collapsed="false">
      <c r="A582" s="62" t="n">
        <v>12</v>
      </c>
      <c r="B582" s="63" t="n">
        <v>3.7</v>
      </c>
      <c r="C582" s="66" t="n">
        <v>34.53</v>
      </c>
      <c r="D582" s="62" t="s">
        <v>9</v>
      </c>
    </row>
    <row r="583" customFormat="false" ht="15.75" hidden="false" customHeight="true" outlineLevel="0" collapsed="false">
      <c r="A583" s="62" t="n">
        <v>7</v>
      </c>
      <c r="B583" s="63" t="n">
        <v>3.9</v>
      </c>
      <c r="C583" s="66" t="n">
        <v>11.95</v>
      </c>
      <c r="D583" s="62" t="s">
        <v>9</v>
      </c>
    </row>
    <row r="584" customFormat="false" ht="15.75" hidden="false" customHeight="true" outlineLevel="0" collapsed="false">
      <c r="A584" s="62" t="n">
        <v>57</v>
      </c>
      <c r="B584" s="63" t="n">
        <v>2.7</v>
      </c>
      <c r="C584" s="66" t="n">
        <v>16.58</v>
      </c>
      <c r="D584" s="62" t="s">
        <v>9</v>
      </c>
    </row>
    <row r="585" customFormat="false" ht="15.75" hidden="false" customHeight="true" outlineLevel="0" collapsed="false">
      <c r="A585" s="62" t="n">
        <v>19</v>
      </c>
      <c r="B585" s="63" t="n">
        <v>3.8</v>
      </c>
      <c r="C585" s="66" t="n">
        <v>50.34</v>
      </c>
      <c r="D585" s="62" t="s">
        <v>9</v>
      </c>
    </row>
    <row r="586" customFormat="false" ht="15.75" hidden="false" customHeight="true" outlineLevel="0" collapsed="false">
      <c r="A586" s="62" t="n">
        <v>25</v>
      </c>
      <c r="B586" s="63" t="n">
        <v>3.8</v>
      </c>
      <c r="C586" s="66" t="n">
        <v>44.87</v>
      </c>
      <c r="D586" s="62" t="s">
        <v>9</v>
      </c>
    </row>
    <row r="587" customFormat="false" ht="15.75" hidden="false" customHeight="true" outlineLevel="0" collapsed="false">
      <c r="A587" s="62" t="n">
        <v>26</v>
      </c>
      <c r="B587" s="63" t="n">
        <v>3.2</v>
      </c>
      <c r="C587" s="66" t="n">
        <v>6.97</v>
      </c>
      <c r="D587" s="62" t="s">
        <v>9</v>
      </c>
    </row>
    <row r="588" customFormat="false" ht="15.75" hidden="false" customHeight="true" outlineLevel="0" collapsed="false">
      <c r="A588" s="62" t="n">
        <v>47</v>
      </c>
      <c r="B588" s="63" t="n">
        <v>3.6</v>
      </c>
      <c r="C588" s="66" t="n">
        <v>30.33</v>
      </c>
      <c r="D588" s="62" t="s">
        <v>9</v>
      </c>
    </row>
    <row r="589" customFormat="false" ht="15.75" hidden="false" customHeight="true" outlineLevel="0" collapsed="false">
      <c r="A589" s="62" t="n">
        <v>18</v>
      </c>
      <c r="B589" s="63" t="n">
        <v>2.6</v>
      </c>
      <c r="C589" s="66" t="n">
        <v>42.51</v>
      </c>
      <c r="D589" s="62" t="s">
        <v>9</v>
      </c>
    </row>
    <row r="590" customFormat="false" ht="15.75" hidden="false" customHeight="true" outlineLevel="0" collapsed="false">
      <c r="A590" s="62" t="n">
        <v>17</v>
      </c>
      <c r="B590" s="63" t="n">
        <v>2</v>
      </c>
      <c r="C590" s="66" t="n">
        <v>29.17</v>
      </c>
      <c r="D590" s="62" t="s">
        <v>9</v>
      </c>
    </row>
    <row r="591" customFormat="false" ht="15.75" hidden="false" customHeight="true" outlineLevel="0" collapsed="false">
      <c r="A591" s="62" t="n">
        <v>19</v>
      </c>
      <c r="B591" s="63" t="n">
        <v>2.9</v>
      </c>
      <c r="C591" s="66" t="n">
        <v>31.65</v>
      </c>
      <c r="D591" s="62" t="s">
        <v>9</v>
      </c>
    </row>
    <row r="592" customFormat="false" ht="15.75" hidden="false" customHeight="true" outlineLevel="0" collapsed="false">
      <c r="A592" s="62" t="n">
        <v>39</v>
      </c>
      <c r="B592" s="63" t="n">
        <v>3</v>
      </c>
      <c r="C592" s="66" t="n">
        <v>58.89</v>
      </c>
      <c r="D592" s="62" t="s">
        <v>9</v>
      </c>
    </row>
    <row r="593" customFormat="false" ht="15.75" hidden="false" customHeight="true" outlineLevel="0" collapsed="false">
      <c r="A593" s="62" t="n">
        <v>11</v>
      </c>
      <c r="B593" s="63" t="n">
        <v>3.5</v>
      </c>
      <c r="C593" s="66" t="n">
        <v>22.47</v>
      </c>
      <c r="D593" s="62" t="s">
        <v>9</v>
      </c>
    </row>
    <row r="594" customFormat="false" ht="15.75" hidden="false" customHeight="true" outlineLevel="0" collapsed="false">
      <c r="A594" s="62" t="n">
        <v>15</v>
      </c>
      <c r="B594" s="63" t="n">
        <v>2.6</v>
      </c>
      <c r="C594" s="66" t="n">
        <v>9.8</v>
      </c>
      <c r="D594" s="62" t="s">
        <v>9</v>
      </c>
    </row>
    <row r="595" customFormat="false" ht="15.75" hidden="false" customHeight="true" outlineLevel="0" collapsed="false">
      <c r="A595" s="62" t="n">
        <v>21</v>
      </c>
      <c r="B595" s="63" t="n">
        <v>1.5</v>
      </c>
      <c r="C595" s="66" t="n">
        <v>23.33</v>
      </c>
      <c r="D595" s="62" t="s">
        <v>9</v>
      </c>
    </row>
    <row r="596" customFormat="false" ht="15.75" hidden="false" customHeight="true" outlineLevel="0" collapsed="false">
      <c r="A596" s="62" t="n">
        <v>19</v>
      </c>
      <c r="B596" s="63" t="n">
        <v>3.8</v>
      </c>
      <c r="C596" s="66" t="n">
        <v>23.5</v>
      </c>
      <c r="D596" s="62" t="s">
        <v>9</v>
      </c>
    </row>
    <row r="597" customFormat="false" ht="15.75" hidden="false" customHeight="true" outlineLevel="0" collapsed="false">
      <c r="A597" s="62" t="n">
        <v>25</v>
      </c>
      <c r="B597" s="63" t="n">
        <v>4</v>
      </c>
      <c r="C597" s="66" t="n">
        <v>18.52</v>
      </c>
      <c r="D597" s="62" t="s">
        <v>9</v>
      </c>
    </row>
    <row r="598" customFormat="false" ht="15.75" hidden="false" customHeight="true" outlineLevel="0" collapsed="false">
      <c r="A598" s="62" t="n">
        <v>42</v>
      </c>
      <c r="B598" s="63" t="n">
        <v>3.3</v>
      </c>
      <c r="C598" s="66" t="n">
        <v>41.24</v>
      </c>
      <c r="D598" s="62" t="s">
        <v>9</v>
      </c>
    </row>
    <row r="599" customFormat="false" ht="15.75" hidden="false" customHeight="true" outlineLevel="0" collapsed="false">
      <c r="A599" s="62" t="n">
        <v>37</v>
      </c>
      <c r="B599" s="63" t="n">
        <v>3.3</v>
      </c>
      <c r="C599" s="66" t="n">
        <v>43.28</v>
      </c>
      <c r="D599" s="62" t="s">
        <v>9</v>
      </c>
    </row>
    <row r="600" customFormat="false" ht="15.75" hidden="false" customHeight="true" outlineLevel="0" collapsed="false">
      <c r="A600" s="62" t="n">
        <v>36</v>
      </c>
      <c r="B600" s="63" t="n">
        <v>1.9</v>
      </c>
      <c r="C600" s="66" t="n">
        <v>28.32</v>
      </c>
      <c r="D600" s="62" t="s">
        <v>9</v>
      </c>
    </row>
    <row r="601" customFormat="false" ht="15.75" hidden="false" customHeight="true" outlineLevel="0" collapsed="false">
      <c r="A601" s="62" t="n">
        <v>29</v>
      </c>
      <c r="B601" s="63" t="n">
        <v>2.9</v>
      </c>
      <c r="C601" s="66" t="n">
        <v>26.05</v>
      </c>
      <c r="D601" s="62" t="s">
        <v>9</v>
      </c>
    </row>
    <row r="602" customFormat="false" ht="15.75" hidden="false" customHeight="true" outlineLevel="0" collapsed="false">
      <c r="A602" s="62" t="n">
        <v>12</v>
      </c>
      <c r="B602" s="63" t="n">
        <v>3.9</v>
      </c>
      <c r="C602" s="66" t="n">
        <v>50.93</v>
      </c>
      <c r="D602" s="62" t="s">
        <v>9</v>
      </c>
    </row>
    <row r="603" customFormat="false" ht="15.75" hidden="false" customHeight="true" outlineLevel="0" collapsed="false">
      <c r="A603" s="62" t="n">
        <v>9</v>
      </c>
      <c r="B603" s="63" t="n">
        <v>2.1</v>
      </c>
      <c r="C603" s="66" t="n">
        <v>22.59</v>
      </c>
      <c r="D603" s="62" t="s">
        <v>9</v>
      </c>
    </row>
    <row r="604" customFormat="false" ht="15.75" hidden="false" customHeight="true" outlineLevel="0" collapsed="false">
      <c r="A604" s="62" t="n">
        <v>44</v>
      </c>
      <c r="B604" s="63" t="n">
        <v>3.3</v>
      </c>
      <c r="C604" s="66" t="n">
        <v>35.11</v>
      </c>
      <c r="D604" s="62" t="s">
        <v>9</v>
      </c>
    </row>
    <row r="605" customFormat="false" ht="15.75" hidden="false" customHeight="true" outlineLevel="0" collapsed="false">
      <c r="A605" s="62" t="n">
        <v>23</v>
      </c>
      <c r="B605" s="63" t="n">
        <v>2.8</v>
      </c>
      <c r="C605" s="66" t="n">
        <v>11.14</v>
      </c>
      <c r="D605" s="62" t="s">
        <v>9</v>
      </c>
    </row>
    <row r="606" customFormat="false" ht="15.75" hidden="false" customHeight="true" outlineLevel="0" collapsed="false">
      <c r="A606" s="62" t="n">
        <v>39</v>
      </c>
      <c r="B606" s="63" t="n">
        <v>2.1</v>
      </c>
      <c r="C606" s="66" t="n">
        <v>43.17</v>
      </c>
      <c r="D606" s="62" t="s">
        <v>9</v>
      </c>
    </row>
    <row r="607" customFormat="false" ht="15.75" hidden="false" customHeight="true" outlineLevel="0" collapsed="false">
      <c r="A607" s="62" t="n">
        <v>30</v>
      </c>
      <c r="B607" s="63" t="n">
        <v>3.7</v>
      </c>
      <c r="C607" s="66" t="n">
        <v>12.65</v>
      </c>
      <c r="D607" s="62" t="s">
        <v>9</v>
      </c>
    </row>
    <row r="608" customFormat="false" ht="15.75" hidden="false" customHeight="true" outlineLevel="0" collapsed="false">
      <c r="A608" s="62" t="n">
        <v>14</v>
      </c>
      <c r="B608" s="63" t="n">
        <v>3.9</v>
      </c>
      <c r="C608" s="66" t="n">
        <v>27.84</v>
      </c>
      <c r="D608" s="62" t="s">
        <v>9</v>
      </c>
    </row>
    <row r="609" customFormat="false" ht="15.75" hidden="false" customHeight="true" outlineLevel="0" collapsed="false">
      <c r="A609" s="62" t="n">
        <v>27</v>
      </c>
      <c r="B609" s="63" t="n">
        <v>1.6</v>
      </c>
      <c r="C609" s="66" t="n">
        <v>38.61</v>
      </c>
      <c r="D609" s="62" t="s">
        <v>9</v>
      </c>
    </row>
    <row r="610" customFormat="false" ht="15.75" hidden="false" customHeight="true" outlineLevel="0" collapsed="false">
      <c r="A610" s="62" t="n">
        <v>50</v>
      </c>
      <c r="B610" s="63" t="n">
        <v>1.7</v>
      </c>
      <c r="C610" s="66" t="n">
        <v>17.32</v>
      </c>
      <c r="D610" s="62" t="s">
        <v>9</v>
      </c>
    </row>
    <row r="611" customFormat="false" ht="15.75" hidden="false" customHeight="true" outlineLevel="0" collapsed="false">
      <c r="A611" s="62" t="n">
        <v>5</v>
      </c>
      <c r="B611" s="63" t="n">
        <v>1.5</v>
      </c>
      <c r="C611" s="66" t="n">
        <v>22.81</v>
      </c>
      <c r="D611" s="62" t="s">
        <v>9</v>
      </c>
    </row>
    <row r="612" customFormat="false" ht="15.75" hidden="false" customHeight="true" outlineLevel="0" collapsed="false">
      <c r="A612" s="62" t="n">
        <v>36</v>
      </c>
      <c r="B612" s="63" t="n">
        <v>11.3</v>
      </c>
      <c r="C612" s="66" t="n">
        <v>87.75</v>
      </c>
      <c r="D612" s="62" t="s">
        <v>9</v>
      </c>
    </row>
    <row r="613" customFormat="false" ht="15.75" hidden="false" customHeight="true" outlineLevel="0" collapsed="false">
      <c r="A613" s="62" t="n">
        <v>3</v>
      </c>
      <c r="B613" s="63" t="n">
        <v>12</v>
      </c>
      <c r="C613" s="66" t="n">
        <v>95.73</v>
      </c>
      <c r="D613" s="62" t="s">
        <v>9</v>
      </c>
    </row>
    <row r="614" customFormat="false" ht="15.75" hidden="false" customHeight="true" outlineLevel="0" collapsed="false">
      <c r="A614" s="62" t="n">
        <v>25</v>
      </c>
      <c r="B614" s="63" t="n">
        <v>12.5</v>
      </c>
      <c r="C614" s="66" t="n">
        <v>110.81</v>
      </c>
      <c r="D614" s="62" t="s">
        <v>9</v>
      </c>
    </row>
    <row r="615" customFormat="false" ht="15.75" hidden="false" customHeight="true" outlineLevel="0" collapsed="false">
      <c r="A615" s="62" t="n">
        <v>15</v>
      </c>
      <c r="B615" s="63" t="n">
        <v>12.6</v>
      </c>
      <c r="C615" s="66" t="n">
        <v>120.86</v>
      </c>
      <c r="D615" s="62" t="s">
        <v>9</v>
      </c>
    </row>
    <row r="616" customFormat="false" ht="15.75" hidden="false" customHeight="true" outlineLevel="0" collapsed="false">
      <c r="A616" s="62" t="n">
        <v>13</v>
      </c>
      <c r="B616" s="63" t="n">
        <v>10.6</v>
      </c>
      <c r="C616" s="66" t="n">
        <v>51.82</v>
      </c>
      <c r="D616" s="62" t="s">
        <v>9</v>
      </c>
    </row>
    <row r="617" customFormat="false" ht="15.75" hidden="false" customHeight="true" outlineLevel="0" collapsed="false">
      <c r="A617" s="62" t="n">
        <v>22</v>
      </c>
      <c r="B617" s="63" t="n">
        <v>12.7</v>
      </c>
      <c r="C617" s="66" t="n">
        <v>88.57</v>
      </c>
      <c r="D617" s="62" t="s">
        <v>9</v>
      </c>
    </row>
    <row r="618" customFormat="false" ht="15.75" hidden="false" customHeight="true" outlineLevel="0" collapsed="false">
      <c r="A618" s="62" t="n">
        <v>22</v>
      </c>
      <c r="B618" s="63" t="n">
        <v>10.7</v>
      </c>
      <c r="C618" s="66" t="n">
        <v>82.02</v>
      </c>
      <c r="D618" s="62" t="s">
        <v>9</v>
      </c>
    </row>
    <row r="619" customFormat="false" ht="15.75" hidden="false" customHeight="true" outlineLevel="0" collapsed="false">
      <c r="A619" s="62" t="n">
        <v>39</v>
      </c>
      <c r="B619" s="63" t="n">
        <v>12.5</v>
      </c>
      <c r="C619" s="66" t="n">
        <v>105.61</v>
      </c>
      <c r="D619" s="62" t="s">
        <v>9</v>
      </c>
    </row>
    <row r="620" customFormat="false" ht="15.75" hidden="false" customHeight="true" outlineLevel="0" collapsed="false">
      <c r="A620" s="62" t="n">
        <v>23</v>
      </c>
      <c r="B620" s="63" t="n">
        <v>12.1</v>
      </c>
      <c r="C620" s="66" t="n">
        <v>83.86</v>
      </c>
      <c r="D620" s="62" t="s">
        <v>9</v>
      </c>
    </row>
    <row r="621" customFormat="false" ht="15.75" hidden="false" customHeight="true" outlineLevel="0" collapsed="false">
      <c r="A621" s="62" t="n">
        <v>46</v>
      </c>
      <c r="B621" s="63" t="n">
        <v>12.2</v>
      </c>
      <c r="C621" s="66" t="n">
        <v>90.89</v>
      </c>
      <c r="D621" s="62" t="s">
        <v>9</v>
      </c>
    </row>
    <row r="622" customFormat="false" ht="15.75" hidden="false" customHeight="true" outlineLevel="0" collapsed="false">
      <c r="A622" s="62" t="n">
        <v>19</v>
      </c>
      <c r="B622" s="63" t="n">
        <v>12.7</v>
      </c>
      <c r="C622" s="66" t="n">
        <v>89.68</v>
      </c>
      <c r="D622" s="62" t="s">
        <v>9</v>
      </c>
    </row>
    <row r="623" customFormat="false" ht="15.75" hidden="false" customHeight="true" outlineLevel="0" collapsed="false">
      <c r="A623" s="62" t="n">
        <v>4</v>
      </c>
      <c r="B623" s="63" t="n">
        <v>10.4</v>
      </c>
      <c r="C623" s="66" t="n">
        <v>103.09</v>
      </c>
      <c r="D623" s="62" t="s">
        <v>9</v>
      </c>
    </row>
    <row r="624" customFormat="false" ht="15.75" hidden="false" customHeight="true" outlineLevel="0" collapsed="false">
      <c r="A624" s="62" t="n">
        <v>26</v>
      </c>
      <c r="B624" s="63" t="n">
        <v>11.8</v>
      </c>
      <c r="C624" s="66" t="n">
        <v>105.6</v>
      </c>
      <c r="D624" s="62" t="s">
        <v>9</v>
      </c>
    </row>
    <row r="625" customFormat="false" ht="15.75" hidden="false" customHeight="true" outlineLevel="0" collapsed="false">
      <c r="A625" s="62" t="n">
        <v>22</v>
      </c>
      <c r="B625" s="63" t="n">
        <v>11.3</v>
      </c>
      <c r="C625" s="66" t="n">
        <v>99.6</v>
      </c>
      <c r="D625" s="62" t="s">
        <v>9</v>
      </c>
    </row>
    <row r="626" customFormat="false" ht="15.75" hidden="false" customHeight="true" outlineLevel="0" collapsed="false">
      <c r="A626" s="62" t="n">
        <v>20</v>
      </c>
      <c r="B626" s="63" t="n">
        <v>11.9</v>
      </c>
      <c r="C626" s="66" t="n">
        <v>95.17</v>
      </c>
      <c r="D626" s="62" t="s">
        <v>9</v>
      </c>
    </row>
    <row r="627" customFormat="false" ht="15.75" hidden="false" customHeight="true" outlineLevel="0" collapsed="false">
      <c r="A627" s="62" t="n">
        <v>29</v>
      </c>
      <c r="B627" s="63" t="n">
        <v>12.2</v>
      </c>
      <c r="C627" s="66" t="n">
        <v>57.01</v>
      </c>
      <c r="D627" s="62" t="s">
        <v>9</v>
      </c>
    </row>
    <row r="628" customFormat="false" ht="15.75" hidden="false" customHeight="true" outlineLevel="0" collapsed="false">
      <c r="A628" s="62" t="n">
        <v>45</v>
      </c>
      <c r="B628" s="63" t="n">
        <v>11.8</v>
      </c>
      <c r="C628" s="66" t="n">
        <v>78.2</v>
      </c>
      <c r="D628" s="62" t="s">
        <v>9</v>
      </c>
    </row>
    <row r="629" customFormat="false" ht="15.75" hidden="false" customHeight="true" outlineLevel="0" collapsed="false">
      <c r="A629" s="62" t="n">
        <v>28</v>
      </c>
      <c r="B629" s="63" t="n">
        <v>12.3</v>
      </c>
      <c r="C629" s="66" t="n">
        <v>103.88</v>
      </c>
      <c r="D629" s="62" t="s">
        <v>9</v>
      </c>
    </row>
    <row r="630" customFormat="false" ht="15.75" hidden="false" customHeight="true" outlineLevel="0" collapsed="false">
      <c r="A630" s="62" t="n">
        <v>25</v>
      </c>
      <c r="B630" s="63" t="n">
        <v>12</v>
      </c>
      <c r="C630" s="66" t="n">
        <v>83.21</v>
      </c>
      <c r="D630" s="62" t="s">
        <v>9</v>
      </c>
    </row>
    <row r="631" customFormat="false" ht="15.75" hidden="false" customHeight="true" outlineLevel="0" collapsed="false">
      <c r="A631" s="62" t="n">
        <v>33</v>
      </c>
      <c r="B631" s="63" t="n">
        <v>11.9</v>
      </c>
      <c r="C631" s="66" t="n">
        <v>114.96</v>
      </c>
      <c r="D631" s="62" t="s">
        <v>9</v>
      </c>
    </row>
    <row r="632" customFormat="false" ht="15.75" hidden="false" customHeight="true" outlineLevel="0" collapsed="false">
      <c r="A632" s="62" t="n">
        <v>16</v>
      </c>
      <c r="B632" s="63" t="n">
        <v>11.9</v>
      </c>
      <c r="C632" s="66" t="n">
        <v>79.23</v>
      </c>
      <c r="D632" s="62" t="s">
        <v>9</v>
      </c>
    </row>
    <row r="633" customFormat="false" ht="15.75" hidden="false" customHeight="true" outlineLevel="0" collapsed="false">
      <c r="A633" s="62" t="n">
        <v>17</v>
      </c>
      <c r="B633" s="63" t="n">
        <v>10.2</v>
      </c>
      <c r="C633" s="66" t="n">
        <v>45.79</v>
      </c>
      <c r="D633" s="62" t="s">
        <v>9</v>
      </c>
    </row>
    <row r="634" customFormat="false" ht="15.75" hidden="false" customHeight="true" outlineLevel="0" collapsed="false">
      <c r="A634" s="62" t="n">
        <v>27</v>
      </c>
      <c r="B634" s="63" t="n">
        <v>11.4</v>
      </c>
      <c r="C634" s="66" t="n">
        <v>56.37</v>
      </c>
      <c r="D634" s="62" t="s">
        <v>9</v>
      </c>
    </row>
    <row r="635" customFormat="false" ht="15.75" hidden="false" customHeight="true" outlineLevel="0" collapsed="false">
      <c r="A635" s="62" t="n">
        <v>36</v>
      </c>
      <c r="B635" s="63" t="n">
        <v>12.8</v>
      </c>
      <c r="C635" s="66" t="n">
        <v>91.79</v>
      </c>
      <c r="D635" s="62" t="s">
        <v>9</v>
      </c>
    </row>
    <row r="636" customFormat="false" ht="15.75" hidden="false" customHeight="true" outlineLevel="0" collapsed="false">
      <c r="A636" s="62" t="n">
        <v>21</v>
      </c>
      <c r="B636" s="63" t="n">
        <v>10.6</v>
      </c>
      <c r="C636" s="66" t="n">
        <v>85.37</v>
      </c>
      <c r="D636" s="62" t="s">
        <v>9</v>
      </c>
    </row>
    <row r="637" customFormat="false" ht="15.75" hidden="false" customHeight="true" outlineLevel="0" collapsed="false">
      <c r="A637" s="62" t="n">
        <v>22</v>
      </c>
      <c r="B637" s="63" t="n">
        <v>12.4</v>
      </c>
      <c r="C637" s="66" t="n">
        <v>96.74</v>
      </c>
      <c r="D637" s="62" t="s">
        <v>9</v>
      </c>
    </row>
    <row r="638" customFormat="false" ht="15.75" hidden="false" customHeight="true" outlineLevel="0" collapsed="false">
      <c r="A638" s="62" t="n">
        <v>17</v>
      </c>
      <c r="B638" s="63" t="n">
        <v>10</v>
      </c>
      <c r="C638" s="66" t="n">
        <v>88.16</v>
      </c>
      <c r="D638" s="62" t="s">
        <v>9</v>
      </c>
    </row>
    <row r="639" customFormat="false" ht="15.75" hidden="false" customHeight="true" outlineLevel="0" collapsed="false">
      <c r="A639" s="62" t="n">
        <v>35</v>
      </c>
      <c r="B639" s="63" t="n">
        <v>12.4</v>
      </c>
      <c r="C639" s="66" t="n">
        <v>109.42</v>
      </c>
      <c r="D639" s="62" t="s">
        <v>9</v>
      </c>
    </row>
    <row r="640" customFormat="false" ht="15.75" hidden="false" customHeight="true" outlineLevel="0" collapsed="false">
      <c r="A640" s="62" t="n">
        <v>23</v>
      </c>
      <c r="B640" s="63" t="n">
        <v>11.8</v>
      </c>
      <c r="C640" s="66" t="n">
        <v>74.97</v>
      </c>
      <c r="D640" s="62" t="s">
        <v>9</v>
      </c>
    </row>
    <row r="641" customFormat="false" ht="15.75" hidden="false" customHeight="true" outlineLevel="0" collapsed="false">
      <c r="A641" s="62" t="n">
        <v>18</v>
      </c>
      <c r="B641" s="63" t="n">
        <v>11.1</v>
      </c>
      <c r="C641" s="66" t="n">
        <v>100.82</v>
      </c>
      <c r="D641" s="62" t="s">
        <v>9</v>
      </c>
    </row>
    <row r="642" customFormat="false" ht="15.75" hidden="false" customHeight="true" outlineLevel="0" collapsed="false">
      <c r="A642" s="62" t="n">
        <v>33</v>
      </c>
      <c r="B642" s="63" t="n">
        <v>11</v>
      </c>
      <c r="C642" s="66" t="n">
        <v>63.32</v>
      </c>
      <c r="D642" s="62" t="s">
        <v>9</v>
      </c>
    </row>
    <row r="643" customFormat="false" ht="15.75" hidden="false" customHeight="true" outlineLevel="0" collapsed="false">
      <c r="A643" s="62" t="n">
        <v>27</v>
      </c>
      <c r="B643" s="63" t="n">
        <v>11.3</v>
      </c>
      <c r="C643" s="66" t="n">
        <v>92.43</v>
      </c>
      <c r="D643" s="62" t="s">
        <v>9</v>
      </c>
    </row>
    <row r="644" customFormat="false" ht="15.75" hidden="false" customHeight="true" outlineLevel="0" collapsed="false">
      <c r="A644" s="62" t="n">
        <v>30</v>
      </c>
      <c r="B644" s="63" t="n">
        <v>12.1</v>
      </c>
      <c r="C644" s="66" t="n">
        <v>92.08</v>
      </c>
      <c r="D644" s="62" t="s">
        <v>9</v>
      </c>
    </row>
    <row r="645" customFormat="false" ht="15.75" hidden="false" customHeight="true" outlineLevel="0" collapsed="false">
      <c r="A645" s="62" t="n">
        <v>41</v>
      </c>
      <c r="B645" s="63" t="n">
        <v>11.7</v>
      </c>
      <c r="C645" s="66" t="n">
        <v>93.63</v>
      </c>
      <c r="D645" s="62" t="s">
        <v>9</v>
      </c>
    </row>
    <row r="646" customFormat="false" ht="15.75" hidden="false" customHeight="true" outlineLevel="0" collapsed="false">
      <c r="A646" s="62" t="n">
        <v>26</v>
      </c>
      <c r="B646" s="63" t="n">
        <v>10</v>
      </c>
      <c r="C646" s="66" t="n">
        <v>98.34</v>
      </c>
      <c r="D646" s="62" t="s">
        <v>9</v>
      </c>
    </row>
    <row r="647" customFormat="false" ht="15.75" hidden="false" customHeight="true" outlineLevel="0" collapsed="false">
      <c r="A647" s="62" t="n">
        <v>17</v>
      </c>
      <c r="B647" s="63" t="n">
        <v>10.1</v>
      </c>
      <c r="C647" s="66" t="n">
        <v>87.63</v>
      </c>
      <c r="D647" s="62" t="s">
        <v>9</v>
      </c>
    </row>
    <row r="648" customFormat="false" ht="15.75" hidden="false" customHeight="true" outlineLevel="0" collapsed="false">
      <c r="A648" s="62" t="n">
        <v>10</v>
      </c>
      <c r="B648" s="63" t="n">
        <v>11.6</v>
      </c>
      <c r="C648" s="66" t="n">
        <v>64.5</v>
      </c>
      <c r="D648" s="62" t="s">
        <v>9</v>
      </c>
    </row>
    <row r="649" customFormat="false" ht="15.75" hidden="false" customHeight="true" outlineLevel="0" collapsed="false">
      <c r="A649" s="62" t="n">
        <v>40</v>
      </c>
      <c r="B649" s="63" t="n">
        <v>10.6</v>
      </c>
      <c r="C649" s="66" t="n">
        <v>80</v>
      </c>
      <c r="D649" s="62" t="s">
        <v>9</v>
      </c>
    </row>
    <row r="650" customFormat="false" ht="15.75" hidden="false" customHeight="true" outlineLevel="0" collapsed="false">
      <c r="A650" s="62" t="n">
        <v>2</v>
      </c>
      <c r="B650" s="63" t="n">
        <v>10.7</v>
      </c>
      <c r="C650" s="66" t="n">
        <v>99.73</v>
      </c>
      <c r="D650" s="62" t="s">
        <v>9</v>
      </c>
    </row>
    <row r="651" customFormat="false" ht="15.75" hidden="false" customHeight="true" outlineLevel="0" collapsed="false">
      <c r="A651" s="62" t="n">
        <v>44</v>
      </c>
      <c r="B651" s="63" t="n">
        <v>10.3</v>
      </c>
      <c r="C651" s="66" t="n">
        <v>89.49</v>
      </c>
      <c r="D651" s="62" t="s">
        <v>9</v>
      </c>
    </row>
    <row r="652" customFormat="false" ht="15.75" hidden="false" customHeight="true" outlineLevel="0" collapsed="false">
      <c r="A652" s="62" t="n">
        <v>31</v>
      </c>
      <c r="B652" s="63" t="n">
        <v>11.6</v>
      </c>
      <c r="C652" s="66" t="n">
        <v>95.39</v>
      </c>
      <c r="D652" s="62" t="s">
        <v>9</v>
      </c>
    </row>
    <row r="653" customFormat="false" ht="15.75" hidden="false" customHeight="true" outlineLevel="0" collapsed="false">
      <c r="A653" s="62" t="n">
        <v>40</v>
      </c>
      <c r="B653" s="63" t="n">
        <v>12.1</v>
      </c>
      <c r="C653" s="66" t="n">
        <v>94.07</v>
      </c>
      <c r="D653" s="62" t="s">
        <v>9</v>
      </c>
    </row>
    <row r="654" customFormat="false" ht="15.75" hidden="false" customHeight="true" outlineLevel="0" collapsed="false">
      <c r="A654" s="62" t="n">
        <v>41</v>
      </c>
      <c r="B654" s="63" t="n">
        <v>12.5</v>
      </c>
      <c r="C654" s="66" t="n">
        <v>99.72</v>
      </c>
      <c r="D654" s="62" t="s">
        <v>9</v>
      </c>
    </row>
    <row r="655" customFormat="false" ht="15.75" hidden="false" customHeight="true" outlineLevel="0" collapsed="false">
      <c r="A655" s="62" t="n">
        <v>15</v>
      </c>
      <c r="B655" s="63" t="n">
        <v>10.9</v>
      </c>
      <c r="C655" s="66" t="n">
        <v>77.13</v>
      </c>
      <c r="D655" s="62" t="s">
        <v>9</v>
      </c>
    </row>
    <row r="656" customFormat="false" ht="15.75" hidden="false" customHeight="true" outlineLevel="0" collapsed="false">
      <c r="A656" s="62" t="n">
        <v>57</v>
      </c>
      <c r="B656" s="63" t="n">
        <v>13</v>
      </c>
      <c r="C656" s="66" t="n">
        <v>67.31</v>
      </c>
      <c r="D656" s="62" t="s">
        <v>9</v>
      </c>
    </row>
    <row r="657" customFormat="false" ht="15.75" hidden="false" customHeight="true" outlineLevel="0" collapsed="false">
      <c r="A657" s="62" t="n">
        <v>51</v>
      </c>
      <c r="B657" s="63" t="n">
        <v>11.5</v>
      </c>
      <c r="C657" s="66" t="n">
        <v>118.49</v>
      </c>
      <c r="D657" s="62" t="s">
        <v>9</v>
      </c>
    </row>
    <row r="658" customFormat="false" ht="15.75" hidden="false" customHeight="true" outlineLevel="0" collapsed="false">
      <c r="A658" s="62" t="n">
        <v>41</v>
      </c>
      <c r="B658" s="63" t="n">
        <v>11.1</v>
      </c>
      <c r="C658" s="66" t="n">
        <v>67.2</v>
      </c>
      <c r="D658" s="62" t="s">
        <v>9</v>
      </c>
    </row>
    <row r="659" customFormat="false" ht="15.75" hidden="false" customHeight="true" outlineLevel="0" collapsed="false">
      <c r="A659" s="62" t="n">
        <v>41</v>
      </c>
      <c r="B659" s="63" t="n">
        <v>12.5</v>
      </c>
      <c r="C659" s="66" t="n">
        <v>100.55</v>
      </c>
      <c r="D659" s="62" t="s">
        <v>9</v>
      </c>
    </row>
    <row r="660" customFormat="false" ht="15.75" hidden="false" customHeight="true" outlineLevel="0" collapsed="false">
      <c r="A660" s="62" t="n">
        <v>30</v>
      </c>
      <c r="B660" s="63" t="n">
        <v>12.2</v>
      </c>
      <c r="C660" s="66" t="n">
        <v>79.36</v>
      </c>
      <c r="D660" s="62" t="s">
        <v>9</v>
      </c>
    </row>
    <row r="661" customFormat="false" ht="15.75" hidden="false" customHeight="true" outlineLevel="0" collapsed="false">
      <c r="A661" s="62" t="n">
        <v>2</v>
      </c>
      <c r="B661" s="63" t="n">
        <v>12.4</v>
      </c>
      <c r="C661" s="66" t="n">
        <v>90.66</v>
      </c>
      <c r="D661" s="62" t="s">
        <v>9</v>
      </c>
    </row>
    <row r="662" customFormat="false" ht="15.75" hidden="false" customHeight="true" outlineLevel="0" collapsed="false">
      <c r="A662" s="62"/>
      <c r="B662" s="62"/>
      <c r="C662" s="62"/>
      <c r="D662" s="62"/>
    </row>
    <row r="663" customFormat="false" ht="15.75" hidden="false" customHeight="true" outlineLevel="0" collapsed="false">
      <c r="A663" s="62"/>
      <c r="B663" s="62"/>
      <c r="C663" s="62"/>
      <c r="D663" s="62"/>
    </row>
    <row r="664" customFormat="false" ht="15.75" hidden="false" customHeight="true" outlineLevel="0" collapsed="false">
      <c r="A664" s="62"/>
      <c r="B664" s="62"/>
      <c r="C664" s="62"/>
      <c r="D664" s="62"/>
    </row>
    <row r="665" customFormat="false" ht="15.75" hidden="false" customHeight="true" outlineLevel="0" collapsed="false">
      <c r="A665" s="62"/>
      <c r="B665" s="62"/>
      <c r="C665" s="62"/>
      <c r="D665" s="62"/>
    </row>
    <row r="666" customFormat="false" ht="15.75" hidden="false" customHeight="true" outlineLevel="0" collapsed="false">
      <c r="A666" s="62"/>
      <c r="B666" s="62"/>
      <c r="C666" s="62"/>
      <c r="D666" s="62"/>
    </row>
    <row r="667" customFormat="false" ht="15.75" hidden="false" customHeight="true" outlineLevel="0" collapsed="false">
      <c r="A667" s="62"/>
      <c r="B667" s="62"/>
      <c r="C667" s="62"/>
      <c r="D667" s="62"/>
    </row>
    <row r="668" customFormat="false" ht="15.75" hidden="false" customHeight="true" outlineLevel="0" collapsed="false">
      <c r="A668" s="62"/>
      <c r="B668" s="62"/>
      <c r="C668" s="62"/>
      <c r="D668" s="62"/>
    </row>
    <row r="669" customFormat="false" ht="15.75" hidden="false" customHeight="true" outlineLevel="0" collapsed="false">
      <c r="A669" s="62"/>
      <c r="B669" s="62"/>
      <c r="C669" s="62"/>
      <c r="D669" s="62"/>
    </row>
    <row r="670" customFormat="false" ht="15.75" hidden="false" customHeight="true" outlineLevel="0" collapsed="false">
      <c r="A670" s="62"/>
      <c r="B670" s="62"/>
      <c r="C670" s="62"/>
      <c r="D670" s="62"/>
    </row>
    <row r="671" customFormat="false" ht="15.75" hidden="false" customHeight="true" outlineLevel="0" collapsed="false">
      <c r="A671" s="62"/>
      <c r="B671" s="62"/>
      <c r="C671" s="62"/>
      <c r="D671" s="62"/>
    </row>
    <row r="672" customFormat="false" ht="15.75" hidden="false" customHeight="true" outlineLevel="0" collapsed="false">
      <c r="A672" s="62"/>
      <c r="B672" s="62"/>
      <c r="C672" s="62"/>
      <c r="D672" s="62"/>
    </row>
    <row r="673" customFormat="false" ht="15.75" hidden="false" customHeight="true" outlineLevel="0" collapsed="false">
      <c r="A673" s="62"/>
      <c r="B673" s="62"/>
      <c r="C673" s="62"/>
      <c r="D673" s="62"/>
    </row>
    <row r="674" customFormat="false" ht="15.75" hidden="false" customHeight="true" outlineLevel="0" collapsed="false">
      <c r="A674" s="62"/>
      <c r="B674" s="62"/>
      <c r="C674" s="62"/>
      <c r="D674" s="62"/>
    </row>
    <row r="675" customFormat="false" ht="15.75" hidden="false" customHeight="true" outlineLevel="0" collapsed="false">
      <c r="A675" s="62"/>
      <c r="B675" s="62"/>
      <c r="C675" s="62"/>
      <c r="D675" s="62"/>
    </row>
    <row r="676" customFormat="false" ht="15.75" hidden="false" customHeight="true" outlineLevel="0" collapsed="false">
      <c r="A676" s="62"/>
      <c r="B676" s="62"/>
      <c r="C676" s="62"/>
      <c r="D676" s="62"/>
    </row>
    <row r="677" customFormat="false" ht="15.75" hidden="false" customHeight="true" outlineLevel="0" collapsed="false">
      <c r="A677" s="62"/>
      <c r="B677" s="62"/>
      <c r="C677" s="62"/>
      <c r="D677" s="62"/>
    </row>
    <row r="678" customFormat="false" ht="15.75" hidden="false" customHeight="true" outlineLevel="0" collapsed="false">
      <c r="A678" s="62"/>
      <c r="B678" s="62"/>
      <c r="C678" s="62"/>
      <c r="D678" s="62"/>
    </row>
    <row r="679" customFormat="false" ht="15.75" hidden="false" customHeight="true" outlineLevel="0" collapsed="false">
      <c r="A679" s="62"/>
      <c r="B679" s="62"/>
      <c r="C679" s="62"/>
      <c r="D679" s="62"/>
    </row>
    <row r="680" customFormat="false" ht="15.75" hidden="false" customHeight="true" outlineLevel="0" collapsed="false">
      <c r="A680" s="62"/>
      <c r="B680" s="62"/>
      <c r="C680" s="62"/>
      <c r="D680" s="62"/>
    </row>
    <row r="681" customFormat="false" ht="15.75" hidden="false" customHeight="true" outlineLevel="0" collapsed="false">
      <c r="A681" s="62"/>
      <c r="B681" s="62"/>
      <c r="C681" s="62"/>
      <c r="D681" s="62"/>
    </row>
    <row r="682" customFormat="false" ht="15.75" hidden="false" customHeight="true" outlineLevel="0" collapsed="false">
      <c r="A682" s="62"/>
      <c r="B682" s="62"/>
      <c r="C682" s="62"/>
      <c r="D682" s="62"/>
    </row>
    <row r="683" customFormat="false" ht="15.75" hidden="false" customHeight="true" outlineLevel="0" collapsed="false">
      <c r="A683" s="62"/>
      <c r="B683" s="62"/>
      <c r="C683" s="62"/>
      <c r="D683" s="62"/>
    </row>
    <row r="684" customFormat="false" ht="15.75" hidden="false" customHeight="true" outlineLevel="0" collapsed="false">
      <c r="A684" s="62"/>
      <c r="B684" s="62"/>
      <c r="C684" s="62"/>
      <c r="D684" s="62"/>
    </row>
    <row r="685" customFormat="false" ht="15.75" hidden="false" customHeight="true" outlineLevel="0" collapsed="false">
      <c r="A685" s="62"/>
      <c r="B685" s="62"/>
      <c r="C685" s="62"/>
      <c r="D685" s="62"/>
    </row>
    <row r="686" customFormat="false" ht="15.75" hidden="false" customHeight="true" outlineLevel="0" collapsed="false">
      <c r="A686" s="62"/>
      <c r="B686" s="62"/>
      <c r="C686" s="62"/>
      <c r="D686" s="62"/>
    </row>
    <row r="687" customFormat="false" ht="15.75" hidden="false" customHeight="true" outlineLevel="0" collapsed="false">
      <c r="A687" s="62"/>
      <c r="B687" s="62"/>
      <c r="C687" s="62"/>
      <c r="D687" s="62"/>
    </row>
    <row r="688" customFormat="false" ht="15.75" hidden="false" customHeight="true" outlineLevel="0" collapsed="false">
      <c r="A688" s="62"/>
      <c r="B688" s="62"/>
      <c r="C688" s="62"/>
      <c r="D688" s="62"/>
    </row>
    <row r="689" customFormat="false" ht="15.75" hidden="false" customHeight="true" outlineLevel="0" collapsed="false">
      <c r="A689" s="62"/>
      <c r="B689" s="62"/>
      <c r="C689" s="62"/>
      <c r="D689" s="62"/>
    </row>
    <row r="690" customFormat="false" ht="15.75" hidden="false" customHeight="true" outlineLevel="0" collapsed="false">
      <c r="A690" s="62"/>
      <c r="B690" s="62"/>
      <c r="C690" s="62"/>
      <c r="D690" s="62"/>
    </row>
    <row r="691" customFormat="false" ht="15.75" hidden="false" customHeight="true" outlineLevel="0" collapsed="false">
      <c r="A691" s="62"/>
      <c r="B691" s="62"/>
      <c r="C691" s="62"/>
      <c r="D691" s="62"/>
    </row>
    <row r="692" customFormat="false" ht="15.75" hidden="false" customHeight="true" outlineLevel="0" collapsed="false">
      <c r="A692" s="62"/>
      <c r="B692" s="62"/>
      <c r="C692" s="62"/>
      <c r="D692" s="62"/>
    </row>
    <row r="693" customFormat="false" ht="15.75" hidden="false" customHeight="true" outlineLevel="0" collapsed="false">
      <c r="A693" s="62"/>
      <c r="B693" s="62"/>
      <c r="C693" s="62"/>
      <c r="D693" s="62"/>
    </row>
    <row r="694" customFormat="false" ht="15.75" hidden="false" customHeight="true" outlineLevel="0" collapsed="false">
      <c r="A694" s="62"/>
      <c r="B694" s="62"/>
      <c r="C694" s="62"/>
      <c r="D694" s="62"/>
    </row>
    <row r="695" customFormat="false" ht="15.75" hidden="false" customHeight="true" outlineLevel="0" collapsed="false">
      <c r="A695" s="62"/>
      <c r="B695" s="62"/>
      <c r="C695" s="62"/>
      <c r="D695" s="62"/>
    </row>
    <row r="696" customFormat="false" ht="15.75" hidden="false" customHeight="true" outlineLevel="0" collapsed="false">
      <c r="A696" s="62"/>
      <c r="B696" s="62"/>
      <c r="C696" s="62"/>
      <c r="D696" s="62"/>
    </row>
    <row r="697" customFormat="false" ht="15.75" hidden="false" customHeight="true" outlineLevel="0" collapsed="false">
      <c r="A697" s="62"/>
      <c r="B697" s="62"/>
      <c r="C697" s="62"/>
      <c r="D697" s="62"/>
    </row>
    <row r="698" customFormat="false" ht="15.75" hidden="false" customHeight="true" outlineLevel="0" collapsed="false">
      <c r="A698" s="62"/>
      <c r="B698" s="62"/>
      <c r="C698" s="62"/>
      <c r="D698" s="62"/>
    </row>
    <row r="699" customFormat="false" ht="15.75" hidden="false" customHeight="true" outlineLevel="0" collapsed="false">
      <c r="A699" s="62"/>
      <c r="B699" s="62"/>
      <c r="C699" s="62"/>
      <c r="D699" s="62"/>
    </row>
    <row r="700" customFormat="false" ht="15.75" hidden="false" customHeight="true" outlineLevel="0" collapsed="false">
      <c r="A700" s="62"/>
      <c r="B700" s="62"/>
      <c r="C700" s="62"/>
      <c r="D700" s="62"/>
    </row>
    <row r="701" customFormat="false" ht="15.75" hidden="false" customHeight="true" outlineLevel="0" collapsed="false">
      <c r="A701" s="62"/>
      <c r="B701" s="62"/>
      <c r="C701" s="62"/>
      <c r="D701" s="62"/>
    </row>
    <row r="702" customFormat="false" ht="15.75" hidden="false" customHeight="true" outlineLevel="0" collapsed="false">
      <c r="A702" s="62"/>
      <c r="B702" s="62"/>
      <c r="C702" s="62"/>
      <c r="D702" s="62"/>
    </row>
    <row r="703" customFormat="false" ht="15.75" hidden="false" customHeight="true" outlineLevel="0" collapsed="false">
      <c r="A703" s="62"/>
      <c r="B703" s="62"/>
      <c r="C703" s="62"/>
      <c r="D703" s="62"/>
    </row>
    <row r="704" customFormat="false" ht="15.75" hidden="false" customHeight="true" outlineLevel="0" collapsed="false">
      <c r="A704" s="62"/>
      <c r="B704" s="62"/>
      <c r="C704" s="62"/>
      <c r="D704" s="62"/>
    </row>
    <row r="705" customFormat="false" ht="15.75" hidden="false" customHeight="true" outlineLevel="0" collapsed="false">
      <c r="A705" s="62"/>
      <c r="B705" s="62"/>
      <c r="C705" s="62"/>
      <c r="D705" s="62"/>
    </row>
    <row r="706" customFormat="false" ht="15.75" hidden="false" customHeight="true" outlineLevel="0" collapsed="false">
      <c r="A706" s="62"/>
      <c r="B706" s="62"/>
      <c r="C706" s="62"/>
      <c r="D706" s="62"/>
    </row>
    <row r="707" customFormat="false" ht="15.75" hidden="false" customHeight="true" outlineLevel="0" collapsed="false">
      <c r="A707" s="62"/>
      <c r="B707" s="62"/>
      <c r="C707" s="62"/>
      <c r="D707" s="62"/>
    </row>
    <row r="708" customFormat="false" ht="15.75" hidden="false" customHeight="true" outlineLevel="0" collapsed="false">
      <c r="A708" s="62"/>
      <c r="B708" s="62"/>
      <c r="C708" s="62"/>
      <c r="D708" s="62"/>
    </row>
    <row r="709" customFormat="false" ht="15.75" hidden="false" customHeight="true" outlineLevel="0" collapsed="false">
      <c r="A709" s="62"/>
      <c r="B709" s="62"/>
      <c r="C709" s="62"/>
      <c r="D709" s="62"/>
    </row>
    <row r="710" customFormat="false" ht="15.75" hidden="false" customHeight="true" outlineLevel="0" collapsed="false">
      <c r="A710" s="62"/>
      <c r="B710" s="62"/>
      <c r="C710" s="62"/>
      <c r="D710" s="62"/>
    </row>
    <row r="711" customFormat="false" ht="15.75" hidden="false" customHeight="true" outlineLevel="0" collapsed="false">
      <c r="A711" s="62"/>
      <c r="B711" s="62"/>
      <c r="C711" s="62"/>
      <c r="D711" s="62"/>
    </row>
    <row r="712" customFormat="false" ht="15.75" hidden="false" customHeight="true" outlineLevel="0" collapsed="false">
      <c r="A712" s="62"/>
      <c r="B712" s="62"/>
      <c r="C712" s="62"/>
      <c r="D712" s="62"/>
    </row>
    <row r="713" customFormat="false" ht="15.75" hidden="false" customHeight="true" outlineLevel="0" collapsed="false">
      <c r="A713" s="62"/>
      <c r="B713" s="62"/>
      <c r="C713" s="62"/>
      <c r="D713" s="62"/>
    </row>
    <row r="714" customFormat="false" ht="15.75" hidden="false" customHeight="true" outlineLevel="0" collapsed="false">
      <c r="A714" s="62"/>
      <c r="B714" s="62"/>
      <c r="C714" s="62"/>
      <c r="D714" s="62"/>
    </row>
    <row r="715" customFormat="false" ht="15.75" hidden="false" customHeight="true" outlineLevel="0" collapsed="false">
      <c r="A715" s="62"/>
      <c r="B715" s="62"/>
      <c r="C715" s="62"/>
      <c r="D715" s="62"/>
    </row>
    <row r="716" customFormat="false" ht="15.75" hidden="false" customHeight="true" outlineLevel="0" collapsed="false">
      <c r="A716" s="62"/>
      <c r="B716" s="62"/>
      <c r="C716" s="62"/>
      <c r="D716" s="62"/>
    </row>
    <row r="717" customFormat="false" ht="15.75" hidden="false" customHeight="true" outlineLevel="0" collapsed="false">
      <c r="A717" s="62"/>
      <c r="B717" s="62"/>
      <c r="C717" s="62"/>
      <c r="D717" s="62"/>
    </row>
    <row r="718" customFormat="false" ht="15.75" hidden="false" customHeight="true" outlineLevel="0" collapsed="false">
      <c r="A718" s="62"/>
      <c r="B718" s="62"/>
      <c r="C718" s="62"/>
      <c r="D718" s="62"/>
    </row>
    <row r="719" customFormat="false" ht="15.75" hidden="false" customHeight="true" outlineLevel="0" collapsed="false">
      <c r="A719" s="62"/>
      <c r="B719" s="62"/>
      <c r="C719" s="62"/>
      <c r="D719" s="62"/>
    </row>
    <row r="720" customFormat="false" ht="15.75" hidden="false" customHeight="true" outlineLevel="0" collapsed="false">
      <c r="A720" s="62"/>
      <c r="B720" s="62"/>
      <c r="C720" s="62"/>
      <c r="D720" s="62"/>
    </row>
    <row r="721" customFormat="false" ht="15.75" hidden="false" customHeight="true" outlineLevel="0" collapsed="false">
      <c r="A721" s="62"/>
      <c r="B721" s="62"/>
      <c r="C721" s="62"/>
      <c r="D721" s="62"/>
    </row>
    <row r="722" customFormat="false" ht="15.75" hidden="false" customHeight="true" outlineLevel="0" collapsed="false">
      <c r="A722" s="62"/>
      <c r="B722" s="62"/>
      <c r="C722" s="62"/>
      <c r="D722" s="62"/>
    </row>
    <row r="723" customFormat="false" ht="15.75" hidden="false" customHeight="true" outlineLevel="0" collapsed="false">
      <c r="A723" s="62"/>
      <c r="B723" s="62"/>
      <c r="C723" s="62"/>
      <c r="D723" s="62"/>
    </row>
    <row r="724" customFormat="false" ht="15.75" hidden="false" customHeight="true" outlineLevel="0" collapsed="false">
      <c r="A724" s="62"/>
      <c r="B724" s="62"/>
      <c r="C724" s="62"/>
      <c r="D724" s="62"/>
    </row>
    <row r="725" customFormat="false" ht="15.75" hidden="false" customHeight="true" outlineLevel="0" collapsed="false">
      <c r="A725" s="62"/>
      <c r="B725" s="62"/>
      <c r="C725" s="62"/>
      <c r="D725" s="62"/>
    </row>
    <row r="726" customFormat="false" ht="15.75" hidden="false" customHeight="true" outlineLevel="0" collapsed="false">
      <c r="A726" s="62"/>
      <c r="B726" s="62"/>
      <c r="C726" s="62"/>
      <c r="D726" s="62"/>
    </row>
    <row r="727" customFormat="false" ht="15.75" hidden="false" customHeight="true" outlineLevel="0" collapsed="false">
      <c r="A727" s="62"/>
      <c r="B727" s="62"/>
      <c r="C727" s="62"/>
      <c r="D727" s="62"/>
    </row>
    <row r="728" customFormat="false" ht="15.75" hidden="false" customHeight="true" outlineLevel="0" collapsed="false">
      <c r="A728" s="62"/>
      <c r="B728" s="62"/>
      <c r="C728" s="62"/>
      <c r="D728" s="62"/>
    </row>
    <row r="729" customFormat="false" ht="15.75" hidden="false" customHeight="true" outlineLevel="0" collapsed="false">
      <c r="A729" s="62"/>
      <c r="B729" s="62"/>
      <c r="C729" s="62"/>
      <c r="D729" s="62"/>
    </row>
    <row r="730" customFormat="false" ht="15.75" hidden="false" customHeight="true" outlineLevel="0" collapsed="false">
      <c r="A730" s="62"/>
      <c r="B730" s="62"/>
      <c r="C730" s="62"/>
      <c r="D730" s="62"/>
    </row>
    <row r="731" customFormat="false" ht="15.75" hidden="false" customHeight="true" outlineLevel="0" collapsed="false">
      <c r="A731" s="62"/>
      <c r="B731" s="62"/>
      <c r="C731" s="62"/>
      <c r="D731" s="62"/>
    </row>
    <row r="732" customFormat="false" ht="15.75" hidden="false" customHeight="true" outlineLevel="0" collapsed="false">
      <c r="A732" s="62"/>
      <c r="B732" s="62"/>
      <c r="C732" s="62"/>
      <c r="D732" s="62"/>
    </row>
    <row r="733" customFormat="false" ht="15.75" hidden="false" customHeight="true" outlineLevel="0" collapsed="false">
      <c r="A733" s="62"/>
      <c r="B733" s="62"/>
      <c r="C733" s="62"/>
      <c r="D733" s="62"/>
    </row>
    <row r="734" customFormat="false" ht="15.75" hidden="false" customHeight="true" outlineLevel="0" collapsed="false">
      <c r="A734" s="62"/>
      <c r="B734" s="62"/>
      <c r="C734" s="62"/>
      <c r="D734" s="62"/>
    </row>
    <row r="735" customFormat="false" ht="15.75" hidden="false" customHeight="true" outlineLevel="0" collapsed="false">
      <c r="A735" s="62"/>
      <c r="B735" s="62"/>
      <c r="C735" s="62"/>
      <c r="D735" s="62"/>
    </row>
    <row r="736" customFormat="false" ht="15.75" hidden="false" customHeight="true" outlineLevel="0" collapsed="false">
      <c r="A736" s="62"/>
      <c r="B736" s="62"/>
      <c r="C736" s="62"/>
      <c r="D736" s="62"/>
    </row>
    <row r="737" customFormat="false" ht="15.75" hidden="false" customHeight="true" outlineLevel="0" collapsed="false">
      <c r="A737" s="62"/>
      <c r="B737" s="62"/>
      <c r="C737" s="62"/>
      <c r="D737" s="62"/>
    </row>
    <row r="738" customFormat="false" ht="15.75" hidden="false" customHeight="true" outlineLevel="0" collapsed="false">
      <c r="A738" s="62"/>
      <c r="B738" s="62"/>
      <c r="C738" s="62"/>
      <c r="D738" s="62"/>
    </row>
    <row r="739" customFormat="false" ht="15.75" hidden="false" customHeight="true" outlineLevel="0" collapsed="false">
      <c r="A739" s="62"/>
      <c r="B739" s="62"/>
      <c r="C739" s="62"/>
      <c r="D739" s="62"/>
    </row>
    <row r="740" customFormat="false" ht="15.75" hidden="false" customHeight="true" outlineLevel="0" collapsed="false">
      <c r="A740" s="62"/>
      <c r="B740" s="62"/>
      <c r="C740" s="62"/>
      <c r="D740" s="62"/>
    </row>
    <row r="741" customFormat="false" ht="15.75" hidden="false" customHeight="true" outlineLevel="0" collapsed="false">
      <c r="A741" s="62"/>
      <c r="B741" s="62"/>
      <c r="C741" s="62"/>
      <c r="D741" s="62"/>
    </row>
    <row r="742" customFormat="false" ht="15.75" hidden="false" customHeight="true" outlineLevel="0" collapsed="false">
      <c r="A742" s="62"/>
      <c r="B742" s="62"/>
      <c r="C742" s="62"/>
      <c r="D742" s="62"/>
    </row>
    <row r="743" customFormat="false" ht="15.75" hidden="false" customHeight="true" outlineLevel="0" collapsed="false">
      <c r="A743" s="62"/>
      <c r="B743" s="62"/>
      <c r="C743" s="62"/>
      <c r="D743" s="62"/>
    </row>
    <row r="744" customFormat="false" ht="15.75" hidden="false" customHeight="true" outlineLevel="0" collapsed="false">
      <c r="A744" s="62"/>
      <c r="B744" s="62"/>
      <c r="C744" s="62"/>
      <c r="D744" s="62"/>
    </row>
    <row r="745" customFormat="false" ht="15.75" hidden="false" customHeight="true" outlineLevel="0" collapsed="false">
      <c r="A745" s="62"/>
      <c r="B745" s="62"/>
      <c r="C745" s="62"/>
      <c r="D745" s="62"/>
    </row>
    <row r="746" customFormat="false" ht="15.75" hidden="false" customHeight="true" outlineLevel="0" collapsed="false">
      <c r="A746" s="62"/>
      <c r="B746" s="62"/>
      <c r="C746" s="62"/>
      <c r="D746" s="62"/>
    </row>
    <row r="747" customFormat="false" ht="15.75" hidden="false" customHeight="true" outlineLevel="0" collapsed="false">
      <c r="A747" s="62"/>
      <c r="B747" s="62"/>
      <c r="C747" s="62"/>
      <c r="D747" s="62"/>
    </row>
    <row r="748" customFormat="false" ht="15.75" hidden="false" customHeight="true" outlineLevel="0" collapsed="false">
      <c r="A748" s="62"/>
      <c r="B748" s="62"/>
      <c r="C748" s="62"/>
      <c r="D748" s="62"/>
    </row>
    <row r="749" customFormat="false" ht="15.75" hidden="false" customHeight="true" outlineLevel="0" collapsed="false">
      <c r="A749" s="62"/>
      <c r="B749" s="62"/>
      <c r="C749" s="62"/>
      <c r="D749" s="62"/>
    </row>
    <row r="750" customFormat="false" ht="15.75" hidden="false" customHeight="true" outlineLevel="0" collapsed="false">
      <c r="A750" s="62"/>
      <c r="B750" s="62"/>
      <c r="C750" s="62"/>
      <c r="D750" s="62"/>
    </row>
    <row r="751" customFormat="false" ht="15.75" hidden="false" customHeight="true" outlineLevel="0" collapsed="false">
      <c r="A751" s="62"/>
      <c r="B751" s="62"/>
      <c r="C751" s="62"/>
      <c r="D751" s="62"/>
    </row>
    <row r="752" customFormat="false" ht="15.75" hidden="false" customHeight="true" outlineLevel="0" collapsed="false">
      <c r="A752" s="62"/>
      <c r="B752" s="62"/>
      <c r="C752" s="62"/>
      <c r="D752" s="62"/>
    </row>
    <row r="753" customFormat="false" ht="15.75" hidden="false" customHeight="true" outlineLevel="0" collapsed="false">
      <c r="A753" s="62"/>
      <c r="B753" s="62"/>
      <c r="C753" s="62"/>
      <c r="D753" s="62"/>
    </row>
    <row r="754" customFormat="false" ht="15.75" hidden="false" customHeight="true" outlineLevel="0" collapsed="false">
      <c r="A754" s="62"/>
      <c r="B754" s="62"/>
      <c r="C754" s="62"/>
      <c r="D754" s="62"/>
    </row>
    <row r="755" customFormat="false" ht="15.75" hidden="false" customHeight="true" outlineLevel="0" collapsed="false">
      <c r="A755" s="62"/>
      <c r="B755" s="62"/>
      <c r="C755" s="62"/>
      <c r="D755" s="62"/>
    </row>
    <row r="756" customFormat="false" ht="15.75" hidden="false" customHeight="true" outlineLevel="0" collapsed="false">
      <c r="A756" s="62"/>
      <c r="B756" s="62"/>
      <c r="C756" s="62"/>
      <c r="D756" s="62"/>
    </row>
    <row r="757" customFormat="false" ht="15.75" hidden="false" customHeight="true" outlineLevel="0" collapsed="false">
      <c r="A757" s="62"/>
      <c r="B757" s="62"/>
      <c r="C757" s="62"/>
      <c r="D757" s="62"/>
    </row>
    <row r="758" customFormat="false" ht="15.75" hidden="false" customHeight="true" outlineLevel="0" collapsed="false">
      <c r="A758" s="62"/>
      <c r="B758" s="62"/>
      <c r="C758" s="62"/>
      <c r="D758" s="62"/>
    </row>
    <row r="759" customFormat="false" ht="15.75" hidden="false" customHeight="true" outlineLevel="0" collapsed="false">
      <c r="A759" s="62"/>
      <c r="B759" s="62"/>
      <c r="C759" s="62"/>
      <c r="D759" s="62"/>
    </row>
    <row r="760" customFormat="false" ht="15.75" hidden="false" customHeight="true" outlineLevel="0" collapsed="false">
      <c r="A760" s="62"/>
      <c r="B760" s="62"/>
      <c r="C760" s="62"/>
      <c r="D760" s="62"/>
    </row>
    <row r="761" customFormat="false" ht="15.75" hidden="false" customHeight="true" outlineLevel="0" collapsed="false">
      <c r="A761" s="62"/>
      <c r="B761" s="62"/>
      <c r="C761" s="62"/>
      <c r="D761" s="62"/>
    </row>
    <row r="762" customFormat="false" ht="15.75" hidden="false" customHeight="true" outlineLevel="0" collapsed="false">
      <c r="A762" s="62"/>
      <c r="B762" s="62"/>
      <c r="C762" s="62"/>
      <c r="D762" s="62"/>
    </row>
    <row r="763" customFormat="false" ht="15.75" hidden="false" customHeight="true" outlineLevel="0" collapsed="false">
      <c r="A763" s="62"/>
      <c r="B763" s="62"/>
      <c r="C763" s="62"/>
      <c r="D763" s="62"/>
    </row>
    <row r="764" customFormat="false" ht="15.75" hidden="false" customHeight="true" outlineLevel="0" collapsed="false">
      <c r="A764" s="62"/>
      <c r="B764" s="62"/>
      <c r="C764" s="62"/>
      <c r="D764" s="62"/>
    </row>
    <row r="765" customFormat="false" ht="15.75" hidden="false" customHeight="true" outlineLevel="0" collapsed="false">
      <c r="A765" s="62"/>
      <c r="B765" s="62"/>
      <c r="C765" s="62"/>
      <c r="D765" s="62"/>
    </row>
    <row r="766" customFormat="false" ht="15.75" hidden="false" customHeight="true" outlineLevel="0" collapsed="false">
      <c r="A766" s="62"/>
      <c r="B766" s="62"/>
      <c r="C766" s="62"/>
      <c r="D766" s="62"/>
    </row>
    <row r="767" customFormat="false" ht="15.75" hidden="false" customHeight="true" outlineLevel="0" collapsed="false">
      <c r="A767" s="62"/>
      <c r="B767" s="62"/>
      <c r="C767" s="62"/>
      <c r="D767" s="62"/>
    </row>
    <row r="768" customFormat="false" ht="15.75" hidden="false" customHeight="true" outlineLevel="0" collapsed="false">
      <c r="A768" s="62"/>
      <c r="B768" s="62"/>
      <c r="C768" s="62"/>
      <c r="D768" s="62"/>
    </row>
    <row r="769" customFormat="false" ht="15.75" hidden="false" customHeight="true" outlineLevel="0" collapsed="false">
      <c r="A769" s="62"/>
      <c r="B769" s="62"/>
      <c r="C769" s="62"/>
      <c r="D769" s="62"/>
    </row>
    <row r="770" customFormat="false" ht="15.75" hidden="false" customHeight="true" outlineLevel="0" collapsed="false">
      <c r="A770" s="62"/>
      <c r="B770" s="62"/>
      <c r="C770" s="62"/>
      <c r="D770" s="62"/>
    </row>
    <row r="771" customFormat="false" ht="15.75" hidden="false" customHeight="true" outlineLevel="0" collapsed="false">
      <c r="A771" s="62"/>
      <c r="B771" s="62"/>
      <c r="C771" s="62"/>
      <c r="D771" s="62"/>
    </row>
    <row r="772" customFormat="false" ht="15.75" hidden="false" customHeight="true" outlineLevel="0" collapsed="false">
      <c r="A772" s="62"/>
      <c r="B772" s="62"/>
      <c r="C772" s="62"/>
      <c r="D772" s="62"/>
    </row>
    <row r="773" customFormat="false" ht="15.75" hidden="false" customHeight="true" outlineLevel="0" collapsed="false">
      <c r="A773" s="62"/>
      <c r="B773" s="62"/>
      <c r="C773" s="62"/>
      <c r="D773" s="62"/>
    </row>
    <row r="774" customFormat="false" ht="15.75" hidden="false" customHeight="true" outlineLevel="0" collapsed="false">
      <c r="A774" s="62"/>
      <c r="B774" s="62"/>
      <c r="C774" s="62"/>
      <c r="D774" s="62"/>
    </row>
    <row r="775" customFormat="false" ht="15.75" hidden="false" customHeight="true" outlineLevel="0" collapsed="false">
      <c r="A775" s="62"/>
      <c r="B775" s="62"/>
      <c r="C775" s="62"/>
      <c r="D775" s="62"/>
    </row>
    <row r="776" customFormat="false" ht="15.75" hidden="false" customHeight="true" outlineLevel="0" collapsed="false">
      <c r="A776" s="62"/>
      <c r="B776" s="62"/>
      <c r="C776" s="62"/>
      <c r="D776" s="62"/>
    </row>
    <row r="777" customFormat="false" ht="15.75" hidden="false" customHeight="true" outlineLevel="0" collapsed="false">
      <c r="A777" s="62"/>
      <c r="B777" s="62"/>
      <c r="C777" s="62"/>
      <c r="D777" s="62"/>
    </row>
    <row r="778" customFormat="false" ht="15.75" hidden="false" customHeight="true" outlineLevel="0" collapsed="false">
      <c r="A778" s="62"/>
      <c r="B778" s="62"/>
      <c r="C778" s="62"/>
      <c r="D778" s="62"/>
    </row>
    <row r="779" customFormat="false" ht="15.75" hidden="false" customHeight="true" outlineLevel="0" collapsed="false">
      <c r="A779" s="62"/>
      <c r="B779" s="62"/>
      <c r="C779" s="62"/>
      <c r="D779" s="62"/>
    </row>
    <row r="780" customFormat="false" ht="15.75" hidden="false" customHeight="true" outlineLevel="0" collapsed="false">
      <c r="A780" s="62"/>
      <c r="B780" s="62"/>
      <c r="C780" s="62"/>
      <c r="D780" s="62"/>
    </row>
    <row r="781" customFormat="false" ht="15.75" hidden="false" customHeight="true" outlineLevel="0" collapsed="false">
      <c r="A781" s="62"/>
      <c r="B781" s="62"/>
      <c r="C781" s="62"/>
      <c r="D781" s="62"/>
    </row>
    <row r="782" customFormat="false" ht="15.75" hidden="false" customHeight="true" outlineLevel="0" collapsed="false">
      <c r="A782" s="62"/>
      <c r="B782" s="62"/>
      <c r="C782" s="62"/>
      <c r="D782" s="62"/>
    </row>
    <row r="783" customFormat="false" ht="15.75" hidden="false" customHeight="true" outlineLevel="0" collapsed="false">
      <c r="A783" s="62"/>
      <c r="B783" s="62"/>
      <c r="C783" s="62"/>
      <c r="D783" s="62"/>
    </row>
    <row r="784" customFormat="false" ht="15.75" hidden="false" customHeight="true" outlineLevel="0" collapsed="false">
      <c r="A784" s="62"/>
      <c r="B784" s="62"/>
      <c r="C784" s="62"/>
      <c r="D784" s="62"/>
    </row>
    <row r="785" customFormat="false" ht="15.75" hidden="false" customHeight="true" outlineLevel="0" collapsed="false">
      <c r="A785" s="62"/>
      <c r="B785" s="62"/>
      <c r="C785" s="62"/>
      <c r="D785" s="62"/>
    </row>
    <row r="786" customFormat="false" ht="15.75" hidden="false" customHeight="true" outlineLevel="0" collapsed="false">
      <c r="A786" s="62"/>
      <c r="B786" s="62"/>
      <c r="C786" s="62"/>
      <c r="D786" s="62"/>
    </row>
    <row r="787" customFormat="false" ht="15.75" hidden="false" customHeight="true" outlineLevel="0" collapsed="false">
      <c r="A787" s="62"/>
      <c r="B787" s="62"/>
      <c r="C787" s="62"/>
      <c r="D787" s="62"/>
    </row>
    <row r="788" customFormat="false" ht="15.75" hidden="false" customHeight="true" outlineLevel="0" collapsed="false">
      <c r="A788" s="62"/>
      <c r="B788" s="62"/>
      <c r="C788" s="62"/>
      <c r="D788" s="62"/>
    </row>
    <row r="789" customFormat="false" ht="15.75" hidden="false" customHeight="true" outlineLevel="0" collapsed="false">
      <c r="A789" s="62"/>
      <c r="B789" s="62"/>
      <c r="C789" s="62"/>
      <c r="D789" s="62"/>
    </row>
    <row r="790" customFormat="false" ht="15.75" hidden="false" customHeight="true" outlineLevel="0" collapsed="false">
      <c r="A790" s="62"/>
      <c r="B790" s="62"/>
      <c r="C790" s="62"/>
      <c r="D790" s="62"/>
    </row>
    <row r="791" customFormat="false" ht="15.75" hidden="false" customHeight="true" outlineLevel="0" collapsed="false">
      <c r="A791" s="62"/>
      <c r="B791" s="62"/>
      <c r="C791" s="62"/>
      <c r="D791" s="62"/>
    </row>
    <row r="792" customFormat="false" ht="15.75" hidden="false" customHeight="true" outlineLevel="0" collapsed="false">
      <c r="A792" s="62"/>
      <c r="B792" s="62"/>
      <c r="C792" s="62"/>
      <c r="D792" s="62"/>
    </row>
    <row r="793" customFormat="false" ht="15.75" hidden="false" customHeight="true" outlineLevel="0" collapsed="false">
      <c r="A793" s="62"/>
      <c r="B793" s="62"/>
      <c r="C793" s="62"/>
      <c r="D793" s="62"/>
    </row>
    <row r="794" customFormat="false" ht="15.75" hidden="false" customHeight="true" outlineLevel="0" collapsed="false">
      <c r="A794" s="62"/>
      <c r="B794" s="62"/>
      <c r="C794" s="62"/>
      <c r="D794" s="62"/>
    </row>
    <row r="795" customFormat="false" ht="15.75" hidden="false" customHeight="true" outlineLevel="0" collapsed="false">
      <c r="A795" s="62"/>
      <c r="B795" s="62"/>
      <c r="C795" s="62"/>
      <c r="D795" s="62"/>
    </row>
    <row r="796" customFormat="false" ht="15.75" hidden="false" customHeight="true" outlineLevel="0" collapsed="false">
      <c r="A796" s="62"/>
      <c r="B796" s="62"/>
      <c r="C796" s="62"/>
      <c r="D796" s="62"/>
    </row>
    <row r="797" customFormat="false" ht="15.75" hidden="false" customHeight="true" outlineLevel="0" collapsed="false">
      <c r="A797" s="62"/>
      <c r="B797" s="62"/>
      <c r="C797" s="62"/>
      <c r="D797" s="62"/>
    </row>
    <row r="798" customFormat="false" ht="15.75" hidden="false" customHeight="true" outlineLevel="0" collapsed="false">
      <c r="A798" s="62"/>
      <c r="B798" s="62"/>
      <c r="C798" s="62"/>
      <c r="D798" s="62"/>
    </row>
    <row r="799" customFormat="false" ht="15.75" hidden="false" customHeight="true" outlineLevel="0" collapsed="false">
      <c r="A799" s="62"/>
      <c r="B799" s="62"/>
      <c r="C799" s="62"/>
      <c r="D799" s="62"/>
    </row>
    <row r="800" customFormat="false" ht="15.75" hidden="false" customHeight="true" outlineLevel="0" collapsed="false">
      <c r="A800" s="62"/>
      <c r="B800" s="62"/>
      <c r="C800" s="62"/>
      <c r="D800" s="62"/>
    </row>
    <row r="801" customFormat="false" ht="15.75" hidden="false" customHeight="true" outlineLevel="0" collapsed="false">
      <c r="A801" s="62"/>
      <c r="B801" s="62"/>
      <c r="C801" s="62"/>
      <c r="D801" s="62"/>
    </row>
    <row r="802" customFormat="false" ht="15.75" hidden="false" customHeight="true" outlineLevel="0" collapsed="false">
      <c r="A802" s="62"/>
      <c r="B802" s="62"/>
      <c r="C802" s="62"/>
      <c r="D802" s="62"/>
    </row>
    <row r="803" customFormat="false" ht="15.75" hidden="false" customHeight="true" outlineLevel="0" collapsed="false">
      <c r="A803" s="62"/>
      <c r="B803" s="62"/>
      <c r="C803" s="62"/>
      <c r="D803" s="62"/>
    </row>
    <row r="804" customFormat="false" ht="15.75" hidden="false" customHeight="true" outlineLevel="0" collapsed="false">
      <c r="A804" s="62"/>
      <c r="B804" s="62"/>
      <c r="C804" s="62"/>
      <c r="D804" s="62"/>
    </row>
    <row r="805" customFormat="false" ht="15.75" hidden="false" customHeight="true" outlineLevel="0" collapsed="false">
      <c r="A805" s="62"/>
      <c r="B805" s="62"/>
      <c r="C805" s="62"/>
      <c r="D805" s="62"/>
    </row>
    <row r="806" customFormat="false" ht="15.75" hidden="false" customHeight="true" outlineLevel="0" collapsed="false">
      <c r="A806" s="62"/>
      <c r="B806" s="62"/>
      <c r="C806" s="62"/>
      <c r="D806" s="62"/>
    </row>
    <row r="807" customFormat="false" ht="15.75" hidden="false" customHeight="true" outlineLevel="0" collapsed="false">
      <c r="A807" s="62"/>
      <c r="B807" s="62"/>
      <c r="C807" s="62"/>
      <c r="D807" s="62"/>
    </row>
    <row r="808" customFormat="false" ht="15.75" hidden="false" customHeight="true" outlineLevel="0" collapsed="false">
      <c r="A808" s="62"/>
      <c r="B808" s="62"/>
      <c r="C808" s="62"/>
      <c r="D808" s="62"/>
    </row>
    <row r="809" customFormat="false" ht="15.75" hidden="false" customHeight="true" outlineLevel="0" collapsed="false">
      <c r="A809" s="62"/>
      <c r="B809" s="62"/>
      <c r="C809" s="62"/>
      <c r="D809" s="62"/>
    </row>
    <row r="810" customFormat="false" ht="15.75" hidden="false" customHeight="true" outlineLevel="0" collapsed="false">
      <c r="A810" s="62"/>
      <c r="B810" s="62"/>
      <c r="C810" s="62"/>
      <c r="D810" s="62"/>
    </row>
    <row r="811" customFormat="false" ht="15.75" hidden="false" customHeight="true" outlineLevel="0" collapsed="false">
      <c r="A811" s="62"/>
      <c r="B811" s="62"/>
      <c r="C811" s="62"/>
      <c r="D811" s="62"/>
    </row>
    <row r="812" customFormat="false" ht="15.75" hidden="false" customHeight="true" outlineLevel="0" collapsed="false">
      <c r="A812" s="62"/>
      <c r="B812" s="62"/>
      <c r="C812" s="62"/>
      <c r="D812" s="62"/>
    </row>
    <row r="813" customFormat="false" ht="15.75" hidden="false" customHeight="true" outlineLevel="0" collapsed="false">
      <c r="A813" s="62"/>
      <c r="B813" s="62"/>
      <c r="C813" s="62"/>
      <c r="D813" s="62"/>
    </row>
    <row r="814" customFormat="false" ht="15.75" hidden="false" customHeight="true" outlineLevel="0" collapsed="false">
      <c r="A814" s="62"/>
      <c r="B814" s="62"/>
      <c r="C814" s="62"/>
      <c r="D814" s="62"/>
    </row>
    <row r="815" customFormat="false" ht="15.75" hidden="false" customHeight="true" outlineLevel="0" collapsed="false">
      <c r="A815" s="62"/>
      <c r="B815" s="62"/>
      <c r="C815" s="62"/>
      <c r="D815" s="62"/>
    </row>
    <row r="816" customFormat="false" ht="15.75" hidden="false" customHeight="true" outlineLevel="0" collapsed="false">
      <c r="A816" s="62"/>
      <c r="B816" s="62"/>
      <c r="C816" s="62"/>
      <c r="D816" s="62"/>
    </row>
    <row r="817" customFormat="false" ht="15.75" hidden="false" customHeight="true" outlineLevel="0" collapsed="false">
      <c r="A817" s="62"/>
      <c r="B817" s="62"/>
      <c r="C817" s="62"/>
      <c r="D817" s="62"/>
    </row>
    <row r="818" customFormat="false" ht="15.75" hidden="false" customHeight="true" outlineLevel="0" collapsed="false">
      <c r="A818" s="62"/>
      <c r="B818" s="62"/>
      <c r="C818" s="62"/>
      <c r="D818" s="62"/>
    </row>
    <row r="819" customFormat="false" ht="15.75" hidden="false" customHeight="true" outlineLevel="0" collapsed="false">
      <c r="A819" s="62"/>
      <c r="B819" s="62"/>
      <c r="C819" s="62"/>
      <c r="D819" s="62"/>
    </row>
    <row r="820" customFormat="false" ht="15.75" hidden="false" customHeight="true" outlineLevel="0" collapsed="false">
      <c r="A820" s="62"/>
      <c r="B820" s="62"/>
      <c r="C820" s="62"/>
      <c r="D820" s="62"/>
    </row>
    <row r="821" customFormat="false" ht="15.75" hidden="false" customHeight="true" outlineLevel="0" collapsed="false">
      <c r="A821" s="62"/>
      <c r="B821" s="62"/>
      <c r="C821" s="62"/>
      <c r="D821" s="62"/>
    </row>
    <row r="822" customFormat="false" ht="15.75" hidden="false" customHeight="true" outlineLevel="0" collapsed="false">
      <c r="A822" s="62"/>
      <c r="B822" s="62"/>
      <c r="C822" s="62"/>
      <c r="D822" s="62"/>
    </row>
    <row r="823" customFormat="false" ht="15.75" hidden="false" customHeight="true" outlineLevel="0" collapsed="false">
      <c r="A823" s="62"/>
      <c r="B823" s="62"/>
      <c r="C823" s="62"/>
      <c r="D823" s="62"/>
    </row>
    <row r="824" customFormat="false" ht="15.75" hidden="false" customHeight="true" outlineLevel="0" collapsed="false">
      <c r="A824" s="62"/>
      <c r="B824" s="62"/>
      <c r="C824" s="62"/>
      <c r="D824" s="62"/>
    </row>
    <row r="825" customFormat="false" ht="15.75" hidden="false" customHeight="true" outlineLevel="0" collapsed="false">
      <c r="A825" s="62"/>
      <c r="B825" s="62"/>
      <c r="C825" s="62"/>
      <c r="D825" s="62"/>
    </row>
    <row r="826" customFormat="false" ht="15.75" hidden="false" customHeight="true" outlineLevel="0" collapsed="false">
      <c r="A826" s="62"/>
      <c r="B826" s="62"/>
      <c r="C826" s="62"/>
      <c r="D826" s="62"/>
    </row>
    <row r="827" customFormat="false" ht="15.75" hidden="false" customHeight="true" outlineLevel="0" collapsed="false">
      <c r="A827" s="62"/>
      <c r="B827" s="62"/>
      <c r="C827" s="62"/>
      <c r="D827" s="62"/>
    </row>
    <row r="828" customFormat="false" ht="15.75" hidden="false" customHeight="true" outlineLevel="0" collapsed="false">
      <c r="A828" s="62"/>
      <c r="B828" s="62"/>
      <c r="C828" s="62"/>
      <c r="D828" s="62"/>
    </row>
    <row r="829" customFormat="false" ht="15.75" hidden="false" customHeight="true" outlineLevel="0" collapsed="false">
      <c r="A829" s="62"/>
      <c r="B829" s="62"/>
      <c r="C829" s="62"/>
      <c r="D829" s="62"/>
    </row>
    <row r="830" customFormat="false" ht="15.75" hidden="false" customHeight="true" outlineLevel="0" collapsed="false">
      <c r="A830" s="62"/>
      <c r="B830" s="62"/>
      <c r="C830" s="62"/>
      <c r="D830" s="62"/>
    </row>
    <row r="831" customFormat="false" ht="15.75" hidden="false" customHeight="true" outlineLevel="0" collapsed="false">
      <c r="A831" s="62"/>
      <c r="B831" s="62"/>
      <c r="C831" s="62"/>
      <c r="D831" s="62"/>
    </row>
    <row r="832" customFormat="false" ht="15.75" hidden="false" customHeight="true" outlineLevel="0" collapsed="false">
      <c r="A832" s="62"/>
      <c r="B832" s="62"/>
      <c r="C832" s="62"/>
      <c r="D832" s="62"/>
    </row>
    <row r="833" customFormat="false" ht="15.75" hidden="false" customHeight="true" outlineLevel="0" collapsed="false">
      <c r="A833" s="62"/>
      <c r="B833" s="62"/>
      <c r="C833" s="62"/>
      <c r="D833" s="62"/>
    </row>
    <row r="834" customFormat="false" ht="15.75" hidden="false" customHeight="true" outlineLevel="0" collapsed="false">
      <c r="A834" s="62"/>
      <c r="B834" s="62"/>
      <c r="C834" s="62"/>
      <c r="D834" s="62"/>
    </row>
    <row r="835" customFormat="false" ht="15.75" hidden="false" customHeight="true" outlineLevel="0" collapsed="false">
      <c r="A835" s="62"/>
      <c r="B835" s="62"/>
      <c r="C835" s="62"/>
      <c r="D835" s="62"/>
    </row>
    <row r="836" customFormat="false" ht="15.75" hidden="false" customHeight="true" outlineLevel="0" collapsed="false">
      <c r="A836" s="62"/>
      <c r="B836" s="62"/>
      <c r="C836" s="62"/>
      <c r="D836" s="62"/>
    </row>
    <row r="837" customFormat="false" ht="15.75" hidden="false" customHeight="true" outlineLevel="0" collapsed="false">
      <c r="A837" s="62"/>
      <c r="B837" s="62"/>
      <c r="C837" s="62"/>
      <c r="D837" s="62"/>
    </row>
    <row r="838" customFormat="false" ht="15.75" hidden="false" customHeight="true" outlineLevel="0" collapsed="false">
      <c r="A838" s="62"/>
      <c r="B838" s="62"/>
      <c r="C838" s="62"/>
      <c r="D838" s="62"/>
    </row>
    <row r="839" customFormat="false" ht="15.75" hidden="false" customHeight="true" outlineLevel="0" collapsed="false">
      <c r="A839" s="62"/>
      <c r="B839" s="62"/>
      <c r="C839" s="62"/>
      <c r="D839" s="62"/>
    </row>
    <row r="840" customFormat="false" ht="15.75" hidden="false" customHeight="true" outlineLevel="0" collapsed="false">
      <c r="A840" s="62"/>
      <c r="B840" s="62"/>
      <c r="C840" s="62"/>
      <c r="D840" s="62"/>
    </row>
    <row r="841" customFormat="false" ht="15.75" hidden="false" customHeight="true" outlineLevel="0" collapsed="false">
      <c r="A841" s="62"/>
      <c r="B841" s="62"/>
      <c r="C841" s="62"/>
      <c r="D841" s="62"/>
    </row>
    <row r="842" customFormat="false" ht="15.75" hidden="false" customHeight="true" outlineLevel="0" collapsed="false">
      <c r="A842" s="62"/>
      <c r="B842" s="62"/>
      <c r="C842" s="62"/>
      <c r="D842" s="62"/>
    </row>
    <row r="843" customFormat="false" ht="15.75" hidden="false" customHeight="true" outlineLevel="0" collapsed="false">
      <c r="A843" s="62"/>
      <c r="B843" s="62"/>
      <c r="C843" s="62"/>
      <c r="D843" s="62"/>
    </row>
    <row r="844" customFormat="false" ht="15.75" hidden="false" customHeight="true" outlineLevel="0" collapsed="false">
      <c r="A844" s="62"/>
      <c r="B844" s="62"/>
      <c r="C844" s="62"/>
      <c r="D844" s="62"/>
    </row>
    <row r="845" customFormat="false" ht="15.75" hidden="false" customHeight="true" outlineLevel="0" collapsed="false">
      <c r="A845" s="62"/>
      <c r="B845" s="62"/>
      <c r="C845" s="62"/>
      <c r="D845" s="62"/>
    </row>
    <row r="846" customFormat="false" ht="15.75" hidden="false" customHeight="true" outlineLevel="0" collapsed="false">
      <c r="A846" s="62"/>
      <c r="B846" s="62"/>
      <c r="C846" s="62"/>
      <c r="D846" s="62"/>
    </row>
    <row r="847" customFormat="false" ht="15.75" hidden="false" customHeight="true" outlineLevel="0" collapsed="false">
      <c r="A847" s="62"/>
      <c r="B847" s="62"/>
      <c r="C847" s="62"/>
      <c r="D847" s="62"/>
    </row>
    <row r="848" customFormat="false" ht="15.75" hidden="false" customHeight="true" outlineLevel="0" collapsed="false">
      <c r="A848" s="62"/>
      <c r="B848" s="62"/>
      <c r="C848" s="62"/>
      <c r="D848" s="62"/>
    </row>
    <row r="849" customFormat="false" ht="15.75" hidden="false" customHeight="true" outlineLevel="0" collapsed="false">
      <c r="A849" s="62"/>
      <c r="B849" s="62"/>
      <c r="C849" s="62"/>
      <c r="D849" s="62"/>
    </row>
    <row r="850" customFormat="false" ht="15.75" hidden="false" customHeight="true" outlineLevel="0" collapsed="false">
      <c r="A850" s="62"/>
      <c r="B850" s="62"/>
      <c r="C850" s="62"/>
      <c r="D850" s="62"/>
    </row>
    <row r="851" customFormat="false" ht="15.75" hidden="false" customHeight="true" outlineLevel="0" collapsed="false">
      <c r="A851" s="62"/>
      <c r="B851" s="62"/>
      <c r="C851" s="62"/>
      <c r="D851" s="62"/>
    </row>
    <row r="852" customFormat="false" ht="15.75" hidden="false" customHeight="true" outlineLevel="0" collapsed="false">
      <c r="A852" s="62"/>
      <c r="B852" s="62"/>
      <c r="C852" s="62"/>
      <c r="D852" s="62"/>
    </row>
    <row r="853" customFormat="false" ht="15.75" hidden="false" customHeight="true" outlineLevel="0" collapsed="false">
      <c r="A853" s="62"/>
      <c r="B853" s="62"/>
      <c r="C853" s="62"/>
      <c r="D853" s="62"/>
    </row>
    <row r="854" customFormat="false" ht="15.75" hidden="false" customHeight="true" outlineLevel="0" collapsed="false">
      <c r="A854" s="62"/>
      <c r="B854" s="62"/>
      <c r="C854" s="62"/>
      <c r="D854" s="62"/>
    </row>
    <row r="855" customFormat="false" ht="15.75" hidden="false" customHeight="true" outlineLevel="0" collapsed="false">
      <c r="A855" s="62"/>
      <c r="B855" s="62"/>
      <c r="C855" s="62"/>
      <c r="D855" s="62"/>
    </row>
    <row r="856" customFormat="false" ht="15.75" hidden="false" customHeight="true" outlineLevel="0" collapsed="false">
      <c r="A856" s="62"/>
      <c r="B856" s="62"/>
      <c r="C856" s="62"/>
      <c r="D856" s="62"/>
    </row>
    <row r="857" customFormat="false" ht="15.75" hidden="false" customHeight="true" outlineLevel="0" collapsed="false">
      <c r="A857" s="62"/>
      <c r="B857" s="62"/>
      <c r="C857" s="62"/>
      <c r="D857" s="62"/>
    </row>
    <row r="858" customFormat="false" ht="15.75" hidden="false" customHeight="true" outlineLevel="0" collapsed="false">
      <c r="A858" s="62"/>
      <c r="B858" s="62"/>
      <c r="C858" s="62"/>
      <c r="D858" s="62"/>
    </row>
    <row r="859" customFormat="false" ht="15.75" hidden="false" customHeight="true" outlineLevel="0" collapsed="false">
      <c r="A859" s="62"/>
      <c r="B859" s="62"/>
      <c r="C859" s="62"/>
      <c r="D859" s="62"/>
    </row>
    <row r="860" customFormat="false" ht="15.75" hidden="false" customHeight="true" outlineLevel="0" collapsed="false">
      <c r="A860" s="62"/>
      <c r="B860" s="62"/>
      <c r="C860" s="62"/>
      <c r="D860" s="62"/>
    </row>
    <row r="861" customFormat="false" ht="15.75" hidden="false" customHeight="true" outlineLevel="0" collapsed="false">
      <c r="A861" s="62"/>
      <c r="B861" s="62"/>
      <c r="C861" s="62"/>
      <c r="D861" s="62"/>
    </row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true" showErrorMessage="false" showInputMessage="false" sqref="M8:M81 O8:O81" type="custom">
      <formula1>AND(ISNUMBER(M8),(NOT(OR(NOT(ISERROR(DATEVALUE(M8))), AND(ISNUMBER(M8), LEFT(CELL("format", M8))="D")))))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2025-08-18T11:01:13Z</dcterms:modified>
  <cp:revision>1</cp:revision>
  <dc:subject/>
  <dc:title/>
</cp:coreProperties>
</file>